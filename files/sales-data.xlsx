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eaned Data" sheetId="1" state="visible" r:id="rId3"/>
    <sheet name="Calculations" sheetId="2" state="visible" r:id="rId4"/>
    <sheet name="Summary Tables" sheetId="3" state="visible" r:id="rId5"/>
    <sheet name="Charts" sheetId="4" state="visible" r:id="rId6"/>
    <sheet name="Analysis" sheetId="5" state="visible" r:id="rId7"/>
    <sheet name="Recommenda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<sst xmlns="http://schemas.openxmlformats.org/spreadsheetml/2006/main" count="1099" uniqueCount="360">
  <si>
    <t xml:space="preserve">Sales Dataset — Cleaned Data</t>
  </si>
  <si>
    <t xml:space="preserve">240 sales orders from January 2 through June 29, 2026. Source fields are preserved; the final column validates each order total.</t>
  </si>
  <si>
    <t xml:space="preserve">Order Id</t>
  </si>
  <si>
    <t xml:space="preserve">Date</t>
  </si>
  <si>
    <t xml:space="preserve">Product</t>
  </si>
  <si>
    <t xml:space="preserve">Quantity</t>
  </si>
  <si>
    <t xml:space="preserve">Unit Price</t>
  </si>
  <si>
    <t xml:space="preserve">Total</t>
  </si>
  <si>
    <t xml:space="preserve">Region</t>
  </si>
  <si>
    <t xml:space="preserve">Salesperson</t>
  </si>
  <si>
    <t xml:space="preserve">Total Check</t>
  </si>
  <si>
    <t xml:space="preserve">SO-1001</t>
  </si>
  <si>
    <t xml:space="preserve">Mechanical Keyboard</t>
  </si>
  <si>
    <t xml:space="preserve">North</t>
  </si>
  <si>
    <t xml:space="preserve">Sofia Kowalski</t>
  </si>
  <si>
    <t xml:space="preserve">SO-1002</t>
  </si>
  <si>
    <t xml:space="preserve">USB-C Hub</t>
  </si>
  <si>
    <t xml:space="preserve">South</t>
  </si>
  <si>
    <t xml:space="preserve">SO-1003</t>
  </si>
  <si>
    <t xml:space="preserve">Standing Desk</t>
  </si>
  <si>
    <t xml:space="preserve">Elena Cohen</t>
  </si>
  <si>
    <t xml:space="preserve">SO-1004</t>
  </si>
  <si>
    <t xml:space="preserve">Webcam 1080p</t>
  </si>
  <si>
    <t xml:space="preserve">East</t>
  </si>
  <si>
    <t xml:space="preserve">Omar Haddad</t>
  </si>
  <si>
    <t xml:space="preserve">SO-1005</t>
  </si>
  <si>
    <t xml:space="preserve">Central</t>
  </si>
  <si>
    <t xml:space="preserve">SO-1006</t>
  </si>
  <si>
    <t xml:space="preserve">Desk Lamp</t>
  </si>
  <si>
    <t xml:space="preserve">West</t>
  </si>
  <si>
    <t xml:space="preserve">SO-1007</t>
  </si>
  <si>
    <t xml:space="preserve">Cable Organizer</t>
  </si>
  <si>
    <t xml:space="preserve">Tomás Tanaka</t>
  </si>
  <si>
    <t xml:space="preserve">SO-1008</t>
  </si>
  <si>
    <t xml:space="preserve">Noise-Cancelling Headphones</t>
  </si>
  <si>
    <t xml:space="preserve">SO-1009</t>
  </si>
  <si>
    <t xml:space="preserve">Laptop Stand</t>
  </si>
  <si>
    <t xml:space="preserve">SO-1010</t>
  </si>
  <si>
    <t xml:space="preserve">Ergonomic Chair</t>
  </si>
  <si>
    <t xml:space="preserve">Priya Herrera</t>
  </si>
  <si>
    <t xml:space="preserve">SO-1011</t>
  </si>
  <si>
    <t xml:space="preserve">SO-1012</t>
  </si>
  <si>
    <t xml:space="preserve">Wireless Mouse</t>
  </si>
  <si>
    <t xml:space="preserve">Chen Bennett</t>
  </si>
  <si>
    <t xml:space="preserve">SO-1013</t>
  </si>
  <si>
    <t xml:space="preserve">SO-1014</t>
  </si>
  <si>
    <t xml:space="preserve">SO-1015</t>
  </si>
  <si>
    <t xml:space="preserve">External SSD 1TB</t>
  </si>
  <si>
    <t xml:space="preserve">SO-1016</t>
  </si>
  <si>
    <t xml:space="preserve">SO-1017</t>
  </si>
  <si>
    <t xml:space="preserve">SO-1018</t>
  </si>
  <si>
    <t xml:space="preserve">SO-1019</t>
  </si>
  <si>
    <t xml:space="preserve">SO-1020</t>
  </si>
  <si>
    <t xml:space="preserve">SO-1021</t>
  </si>
  <si>
    <t xml:space="preserve">SO-1022</t>
  </si>
  <si>
    <t xml:space="preserve">SO-1023</t>
  </si>
  <si>
    <t xml:space="preserve">SO-1024</t>
  </si>
  <si>
    <t xml:space="preserve">SO-1025</t>
  </si>
  <si>
    <t xml:space="preserve">SO-1026</t>
  </si>
  <si>
    <t xml:space="preserve">SO-1027</t>
  </si>
  <si>
    <t xml:space="preserve">SO-1028</t>
  </si>
  <si>
    <t xml:space="preserve">SO-1029</t>
  </si>
  <si>
    <t xml:space="preserve">SO-1030</t>
  </si>
  <si>
    <t xml:space="preserve">SO-1031</t>
  </si>
  <si>
    <t xml:space="preserve">SO-1032</t>
  </si>
  <si>
    <t xml:space="preserve">SO-1033</t>
  </si>
  <si>
    <t xml:space="preserve">SO-1034</t>
  </si>
  <si>
    <t xml:space="preserve">27-inch Monitor</t>
  </si>
  <si>
    <t xml:space="preserve">SO-1035</t>
  </si>
  <si>
    <t xml:space="preserve">SO-1036</t>
  </si>
  <si>
    <t xml:space="preserve">SO-1037</t>
  </si>
  <si>
    <t xml:space="preserve">SO-1038</t>
  </si>
  <si>
    <t xml:space="preserve">SO-1039</t>
  </si>
  <si>
    <t xml:space="preserve">SO-1040</t>
  </si>
  <si>
    <t xml:space="preserve">SO-1041</t>
  </si>
  <si>
    <t xml:space="preserve">SO-1042</t>
  </si>
  <si>
    <t xml:space="preserve">SO-1043</t>
  </si>
  <si>
    <t xml:space="preserve">SO-1044</t>
  </si>
  <si>
    <t xml:space="preserve">SO-1045</t>
  </si>
  <si>
    <t xml:space="preserve">SO-1046</t>
  </si>
  <si>
    <t xml:space="preserve">SO-1047</t>
  </si>
  <si>
    <t xml:space="preserve">SO-1048</t>
  </si>
  <si>
    <t xml:space="preserve">SO-1049</t>
  </si>
  <si>
    <t xml:space="preserve">SO-1050</t>
  </si>
  <si>
    <t xml:space="preserve">SO-1051</t>
  </si>
  <si>
    <t xml:space="preserve">SO-1052</t>
  </si>
  <si>
    <t xml:space="preserve">SO-1053</t>
  </si>
  <si>
    <t xml:space="preserve">SO-1054</t>
  </si>
  <si>
    <t xml:space="preserve">SO-1055</t>
  </si>
  <si>
    <t xml:space="preserve">SO-1056</t>
  </si>
  <si>
    <t xml:space="preserve">SO-1057</t>
  </si>
  <si>
    <t xml:space="preserve">SO-1058</t>
  </si>
  <si>
    <t xml:space="preserve">SO-1059</t>
  </si>
  <si>
    <t xml:space="preserve">SO-1060</t>
  </si>
  <si>
    <t xml:space="preserve">SO-1061</t>
  </si>
  <si>
    <t xml:space="preserve">SO-1062</t>
  </si>
  <si>
    <t xml:space="preserve">SO-1063</t>
  </si>
  <si>
    <t xml:space="preserve">SO-1064</t>
  </si>
  <si>
    <t xml:space="preserve">SO-1065</t>
  </si>
  <si>
    <t xml:space="preserve">SO-1066</t>
  </si>
  <si>
    <t xml:space="preserve">SO-1067</t>
  </si>
  <si>
    <t xml:space="preserve">SO-1068</t>
  </si>
  <si>
    <t xml:space="preserve">SO-1069</t>
  </si>
  <si>
    <t xml:space="preserve">SO-1070</t>
  </si>
  <si>
    <t xml:space="preserve">SO-1071</t>
  </si>
  <si>
    <t xml:space="preserve">SO-1072</t>
  </si>
  <si>
    <t xml:space="preserve">SO-1073</t>
  </si>
  <si>
    <t xml:space="preserve">SO-1074</t>
  </si>
  <si>
    <t xml:space="preserve">SO-1075</t>
  </si>
  <si>
    <t xml:space="preserve">SO-1076</t>
  </si>
  <si>
    <t xml:space="preserve">SO-1077</t>
  </si>
  <si>
    <t xml:space="preserve">SO-1078</t>
  </si>
  <si>
    <t xml:space="preserve">SO-1079</t>
  </si>
  <si>
    <t xml:space="preserve">SO-1080</t>
  </si>
  <si>
    <t xml:space="preserve">SO-1081</t>
  </si>
  <si>
    <t xml:space="preserve">SO-1082</t>
  </si>
  <si>
    <t xml:space="preserve">SO-1083</t>
  </si>
  <si>
    <t xml:space="preserve">SO-1084</t>
  </si>
  <si>
    <t xml:space="preserve">SO-1085</t>
  </si>
  <si>
    <t xml:space="preserve">SO-1086</t>
  </si>
  <si>
    <t xml:space="preserve">SO-1087</t>
  </si>
  <si>
    <t xml:space="preserve">SO-1088</t>
  </si>
  <si>
    <t xml:space="preserve">SO-1089</t>
  </si>
  <si>
    <t xml:space="preserve">SO-1090</t>
  </si>
  <si>
    <t xml:space="preserve">SO-1091</t>
  </si>
  <si>
    <t xml:space="preserve">SO-1092</t>
  </si>
  <si>
    <t xml:space="preserve">SO-1093</t>
  </si>
  <si>
    <t xml:space="preserve">SO-1094</t>
  </si>
  <si>
    <t xml:space="preserve">SO-1095</t>
  </si>
  <si>
    <t xml:space="preserve">SO-1096</t>
  </si>
  <si>
    <t xml:space="preserve">SO-1097</t>
  </si>
  <si>
    <t xml:space="preserve">SO-1098</t>
  </si>
  <si>
    <t xml:space="preserve">SO-1099</t>
  </si>
  <si>
    <t xml:space="preserve">SO-1100</t>
  </si>
  <si>
    <t xml:space="preserve">SO-1101</t>
  </si>
  <si>
    <t xml:space="preserve">SO-1102</t>
  </si>
  <si>
    <t xml:space="preserve">SO-1103</t>
  </si>
  <si>
    <t xml:space="preserve">SO-1104</t>
  </si>
  <si>
    <t xml:space="preserve">SO-1105</t>
  </si>
  <si>
    <t xml:space="preserve">SO-1106</t>
  </si>
  <si>
    <t xml:space="preserve">SO-1107</t>
  </si>
  <si>
    <t xml:space="preserve">SO-1108</t>
  </si>
  <si>
    <t xml:space="preserve">SO-1109</t>
  </si>
  <si>
    <t xml:space="preserve">SO-1110</t>
  </si>
  <si>
    <t xml:space="preserve">SO-1111</t>
  </si>
  <si>
    <t xml:space="preserve">SO-1112</t>
  </si>
  <si>
    <t xml:space="preserve">SO-1113</t>
  </si>
  <si>
    <t xml:space="preserve">SO-1114</t>
  </si>
  <si>
    <t xml:space="preserve">SO-1115</t>
  </si>
  <si>
    <t xml:space="preserve">SO-1116</t>
  </si>
  <si>
    <t xml:space="preserve">SO-1117</t>
  </si>
  <si>
    <t xml:space="preserve">SO-1118</t>
  </si>
  <si>
    <t xml:space="preserve">SO-1119</t>
  </si>
  <si>
    <t xml:space="preserve">SO-1120</t>
  </si>
  <si>
    <t xml:space="preserve">SO-1121</t>
  </si>
  <si>
    <t xml:space="preserve">SO-1122</t>
  </si>
  <si>
    <t xml:space="preserve">SO-1123</t>
  </si>
  <si>
    <t xml:space="preserve">SO-1124</t>
  </si>
  <si>
    <t xml:space="preserve">SO-1125</t>
  </si>
  <si>
    <t xml:space="preserve">SO-1126</t>
  </si>
  <si>
    <t xml:space="preserve">SO-1127</t>
  </si>
  <si>
    <t xml:space="preserve">SO-1128</t>
  </si>
  <si>
    <t xml:space="preserve">SO-1129</t>
  </si>
  <si>
    <t xml:space="preserve">SO-1130</t>
  </si>
  <si>
    <t xml:space="preserve">SO-1131</t>
  </si>
  <si>
    <t xml:space="preserve">SO-1132</t>
  </si>
  <si>
    <t xml:space="preserve">SO-1133</t>
  </si>
  <si>
    <t xml:space="preserve">SO-1134</t>
  </si>
  <si>
    <t xml:space="preserve">SO-1135</t>
  </si>
  <si>
    <t xml:space="preserve">SO-1136</t>
  </si>
  <si>
    <t xml:space="preserve">SO-1137</t>
  </si>
  <si>
    <t xml:space="preserve">SO-1138</t>
  </si>
  <si>
    <t xml:space="preserve">SO-1139</t>
  </si>
  <si>
    <t xml:space="preserve">SO-1140</t>
  </si>
  <si>
    <t xml:space="preserve">SO-1141</t>
  </si>
  <si>
    <t xml:space="preserve">SO-1142</t>
  </si>
  <si>
    <t xml:space="preserve">SO-1143</t>
  </si>
  <si>
    <t xml:space="preserve">SO-1144</t>
  </si>
  <si>
    <t xml:space="preserve">SO-1145</t>
  </si>
  <si>
    <t xml:space="preserve">SO-1146</t>
  </si>
  <si>
    <t xml:space="preserve">SO-1147</t>
  </si>
  <si>
    <t xml:space="preserve">SO-1148</t>
  </si>
  <si>
    <t xml:space="preserve">SO-1149</t>
  </si>
  <si>
    <t xml:space="preserve">SO-1150</t>
  </si>
  <si>
    <t xml:space="preserve">SO-1151</t>
  </si>
  <si>
    <t xml:space="preserve">SO-1152</t>
  </si>
  <si>
    <t xml:space="preserve">SO-1153</t>
  </si>
  <si>
    <t xml:space="preserve">SO-1154</t>
  </si>
  <si>
    <t xml:space="preserve">SO-1155</t>
  </si>
  <si>
    <t xml:space="preserve">SO-1156</t>
  </si>
  <si>
    <t xml:space="preserve">SO-1157</t>
  </si>
  <si>
    <t xml:space="preserve">SO-1158</t>
  </si>
  <si>
    <t xml:space="preserve">SO-1159</t>
  </si>
  <si>
    <t xml:space="preserve">SO-1160</t>
  </si>
  <si>
    <t xml:space="preserve">SO-1161</t>
  </si>
  <si>
    <t xml:space="preserve">SO-1162</t>
  </si>
  <si>
    <t xml:space="preserve">SO-1163</t>
  </si>
  <si>
    <t xml:space="preserve">SO-1164</t>
  </si>
  <si>
    <t xml:space="preserve">SO-1165</t>
  </si>
  <si>
    <t xml:space="preserve">SO-1166</t>
  </si>
  <si>
    <t xml:space="preserve">SO-1167</t>
  </si>
  <si>
    <t xml:space="preserve">SO-1168</t>
  </si>
  <si>
    <t xml:space="preserve">SO-1169</t>
  </si>
  <si>
    <t xml:space="preserve">SO-1170</t>
  </si>
  <si>
    <t xml:space="preserve">SO-1171</t>
  </si>
  <si>
    <t xml:space="preserve">SO-1172</t>
  </si>
  <si>
    <t xml:space="preserve">SO-1173</t>
  </si>
  <si>
    <t xml:space="preserve">SO-1174</t>
  </si>
  <si>
    <t xml:space="preserve">SO-1175</t>
  </si>
  <si>
    <t xml:space="preserve">SO-1176</t>
  </si>
  <si>
    <t xml:space="preserve">SO-1177</t>
  </si>
  <si>
    <t xml:space="preserve">SO-1178</t>
  </si>
  <si>
    <t xml:space="preserve">SO-1179</t>
  </si>
  <si>
    <t xml:space="preserve">SO-1180</t>
  </si>
  <si>
    <t xml:space="preserve">SO-1181</t>
  </si>
  <si>
    <t xml:space="preserve">SO-1182</t>
  </si>
  <si>
    <t xml:space="preserve">SO-1183</t>
  </si>
  <si>
    <t xml:space="preserve">SO-1184</t>
  </si>
  <si>
    <t xml:space="preserve">SO-1185</t>
  </si>
  <si>
    <t xml:space="preserve">SO-1186</t>
  </si>
  <si>
    <t xml:space="preserve">SO-1187</t>
  </si>
  <si>
    <t xml:space="preserve">SO-1188</t>
  </si>
  <si>
    <t xml:space="preserve">SO-1189</t>
  </si>
  <si>
    <t xml:space="preserve">SO-1190</t>
  </si>
  <si>
    <t xml:space="preserve">SO-1191</t>
  </si>
  <si>
    <t xml:space="preserve">SO-1192</t>
  </si>
  <si>
    <t xml:space="preserve">SO-1193</t>
  </si>
  <si>
    <t xml:space="preserve">SO-1194</t>
  </si>
  <si>
    <t xml:space="preserve">SO-1195</t>
  </si>
  <si>
    <t xml:space="preserve">SO-1196</t>
  </si>
  <si>
    <t xml:space="preserve">SO-1197</t>
  </si>
  <si>
    <t xml:space="preserve">SO-1198</t>
  </si>
  <si>
    <t xml:space="preserve">SO-1199</t>
  </si>
  <si>
    <t xml:space="preserve">SO-1200</t>
  </si>
  <si>
    <t xml:space="preserve">SO-1201</t>
  </si>
  <si>
    <t xml:space="preserve">SO-1202</t>
  </si>
  <si>
    <t xml:space="preserve">SO-1203</t>
  </si>
  <si>
    <t xml:space="preserve">SO-1204</t>
  </si>
  <si>
    <t xml:space="preserve">SO-1205</t>
  </si>
  <si>
    <t xml:space="preserve">SO-1206</t>
  </si>
  <si>
    <t xml:space="preserve">SO-1207</t>
  </si>
  <si>
    <t xml:space="preserve">SO-1208</t>
  </si>
  <si>
    <t xml:space="preserve">SO-1209</t>
  </si>
  <si>
    <t xml:space="preserve">SO-1210</t>
  </si>
  <si>
    <t xml:space="preserve">SO-1211</t>
  </si>
  <si>
    <t xml:space="preserve">SO-1212</t>
  </si>
  <si>
    <t xml:space="preserve">SO-1213</t>
  </si>
  <si>
    <t xml:space="preserve">SO-1214</t>
  </si>
  <si>
    <t xml:space="preserve">SO-1215</t>
  </si>
  <si>
    <t xml:space="preserve">SO-1216</t>
  </si>
  <si>
    <t xml:space="preserve">SO-1217</t>
  </si>
  <si>
    <t xml:space="preserve">SO-1218</t>
  </si>
  <si>
    <t xml:space="preserve">SO-1219</t>
  </si>
  <si>
    <t xml:space="preserve">SO-1220</t>
  </si>
  <si>
    <t xml:space="preserve">SO-1221</t>
  </si>
  <si>
    <t xml:space="preserve">SO-1222</t>
  </si>
  <si>
    <t xml:space="preserve">SO-1223</t>
  </si>
  <si>
    <t xml:space="preserve">SO-1224</t>
  </si>
  <si>
    <t xml:space="preserve">SO-1225</t>
  </si>
  <si>
    <t xml:space="preserve">SO-1226</t>
  </si>
  <si>
    <t xml:space="preserve">SO-1227</t>
  </si>
  <si>
    <t xml:space="preserve">SO-1228</t>
  </si>
  <si>
    <t xml:space="preserve">SO-1229</t>
  </si>
  <si>
    <t xml:space="preserve">SO-1230</t>
  </si>
  <si>
    <t xml:space="preserve">SO-1231</t>
  </si>
  <si>
    <t xml:space="preserve">SO-1232</t>
  </si>
  <si>
    <t xml:space="preserve">SO-1233</t>
  </si>
  <si>
    <t xml:space="preserve">SO-1234</t>
  </si>
  <si>
    <t xml:space="preserve">SO-1235</t>
  </si>
  <si>
    <t xml:space="preserve">SO-1236</t>
  </si>
  <si>
    <t xml:space="preserve">SO-1237</t>
  </si>
  <si>
    <t xml:space="preserve">SO-1238</t>
  </si>
  <si>
    <t xml:space="preserve">SO-1239</t>
  </si>
  <si>
    <t xml:space="preserve">SO-1240</t>
  </si>
  <si>
    <t xml:space="preserve">Sales Analysis — Calculations</t>
  </si>
  <si>
    <t xml:space="preserve">Formula-based KPIs linked to Cleaned Data. Verified Result provides the current result for easy checking.</t>
  </si>
  <si>
    <t xml:space="preserve">Metric</t>
  </si>
  <si>
    <t xml:space="preserve">Excel Formula</t>
  </si>
  <si>
    <t xml:space="preserve">Verified Result</t>
  </si>
  <si>
    <t xml:space="preserve">Interpretation</t>
  </si>
  <si>
    <t xml:space="preserve">Total Revenue</t>
  </si>
  <si>
    <t xml:space="preserve">Total sales value across all orders.</t>
  </si>
  <si>
    <t xml:space="preserve">Number of Orders</t>
  </si>
  <si>
    <t xml:space="preserve">Count of order records.</t>
  </si>
  <si>
    <t xml:space="preserve">Units Sold</t>
  </si>
  <si>
    <t xml:space="preserve">Total number of items sold.</t>
  </si>
  <si>
    <t xml:space="preserve">Average Order Value</t>
  </si>
  <si>
    <t xml:space="preserve">Average revenue per order.</t>
  </si>
  <si>
    <t xml:space="preserve">Average Quantity per Order</t>
  </si>
  <si>
    <t xml:space="preserve">Average units per order.</t>
  </si>
  <si>
    <t xml:space="preserve">Highest Order Value</t>
  </si>
  <si>
    <t xml:space="preserve">Largest order total.</t>
  </si>
  <si>
    <t xml:space="preserve">Lowest Order Value</t>
  </si>
  <si>
    <t xml:space="preserve">Smallest order total.</t>
  </si>
  <si>
    <t xml:space="preserve">Unique Products</t>
  </si>
  <si>
    <t xml:space="preserve">Number of product types.</t>
  </si>
  <si>
    <t xml:space="preserve">Unique Regions</t>
  </si>
  <si>
    <t xml:space="preserve">Number of regions.</t>
  </si>
  <si>
    <t xml:space="preserve">Unique Salespeople</t>
  </si>
  <si>
    <t xml:space="preserve">Number of salespeople.</t>
  </si>
  <si>
    <t xml:space="preserve">Blank Cells in Source Fields</t>
  </si>
  <si>
    <t xml:space="preserve">Missing values in the original eight fields.</t>
  </si>
  <si>
    <t xml:space="preserve">Duplicate Order IDs</t>
  </si>
  <si>
    <t xml:space="preserve">Rows with repeated order IDs; expected to be zero.</t>
  </si>
  <si>
    <t xml:space="preserve">Total Calculation Errors</t>
  </si>
  <si>
    <t xml:space="preserve">Checks quantity × unit price against total.</t>
  </si>
  <si>
    <t xml:space="preserve">Sales Summary Tables</t>
  </si>
  <si>
    <t xml:space="preserve">Summaries by product, region, salesperson, and month. Revenue shares and monthly changes are formula-based.</t>
  </si>
  <si>
    <t xml:space="preserve">By Product</t>
  </si>
  <si>
    <t xml:space="preserve">By Region</t>
  </si>
  <si>
    <t xml:space="preserve">By Salesperson</t>
  </si>
  <si>
    <t xml:space="preserve">Orders</t>
  </si>
  <si>
    <t xml:space="preserve">Revenue</t>
  </si>
  <si>
    <t xml:space="preserve">Revenue Share</t>
  </si>
  <si>
    <t xml:space="preserve">Monthly Sales Summary</t>
  </si>
  <si>
    <t xml:space="preserve">Month</t>
  </si>
  <si>
    <t xml:space="preserve">Revenue Change</t>
  </si>
  <si>
    <t xml:space="preserve">N/A</t>
  </si>
  <si>
    <t xml:space="preserve">Sales Charts</t>
  </si>
  <si>
    <t xml:space="preserve">Charts linked to the summary tables for product, regional, monthly, and salesperson comparisons.</t>
  </si>
  <si>
    <t xml:space="preserve">Sales Data Analysis</t>
  </si>
  <si>
    <t xml:space="preserve">Key findings based on 240 sales orders recorded from January 2 through June 29, 2026.</t>
  </si>
  <si>
    <t xml:space="preserve">Overall Sales</t>
  </si>
  <si>
    <t xml:space="preserve">Total revenue was $142,437.14 across 240 orders, with 1,108 units sold. Average order value was $593.49.</t>
  </si>
  <si>
    <t xml:space="preserve">Top Product by Revenue</t>
  </si>
  <si>
    <t xml:space="preserve">Laptop Stand generated $18,713.90 across 24 orders and 133 units, the highest product revenue.</t>
  </si>
  <si>
    <t xml:space="preserve">Lowest Product by Revenue</t>
  </si>
  <si>
    <t xml:space="preserve">Standing Desk generated $6,526.55; review its pricing, demand, bundling opportunities, and product visibility before changing stock levels.</t>
  </si>
  <si>
    <t xml:space="preserve">Regional Performance</t>
  </si>
  <si>
    <t xml:space="preserve">Central had the highest regional revenue at $30,787.94. West had the lowest at $26,154.87.</t>
  </si>
  <si>
    <t xml:space="preserve">Salesperson Performance</t>
  </si>
  <si>
    <t xml:space="preserve">Priya Herrera recorded the highest revenue at $28,195.51. Chen Bennett recorded $20,517.66; compare order volume and product mix before evaluating performance.</t>
  </si>
  <si>
    <t xml:space="preserve">Monthly Trend</t>
  </si>
  <si>
    <t xml:space="preserve">June 2026 was the highest-revenue month ($36,723.17); February 2026 was the lowest ($13,788.89). June revenue was 47.6% higher than May.</t>
  </si>
  <si>
    <t xml:space="preserve">Data Quality</t>
  </si>
  <si>
    <t xml:space="preserve">No blank values or duplicate order IDs were found in the source fields, and all 240 order totals match quantity × unit price within one cent.</t>
  </si>
  <si>
    <t xml:space="preserve">Interpretation Note</t>
  </si>
  <si>
    <t xml:space="preserve">The dataset does not include costs, discounts, returns, profit margins, customer details, or marketing spend. Revenue should not be treated as profit, and the causes of monthly changes cannot be confirmed from these fields alone.</t>
  </si>
  <si>
    <t xml:space="preserve">Recommendations</t>
  </si>
  <si>
    <t xml:space="preserve">Actionable suggestions based on observed sales patterns; these are recommendations, not confirmed causes.</t>
  </si>
  <si>
    <t xml:space="preserve">Priority</t>
  </si>
  <si>
    <t xml:space="preserve">Recommendation</t>
  </si>
  <si>
    <t xml:space="preserve">Reason / Suggested Action</t>
  </si>
  <si>
    <t xml:space="preserve">High</t>
  </si>
  <si>
    <t xml:space="preserve">Maintain availability of top-revenue products</t>
  </si>
  <si>
    <t xml:space="preserve">Laptop Stand led revenue at $18,713.90. Monitor stock levels and avoid preventable stockouts.</t>
  </si>
  <si>
    <t xml:space="preserve">Investigate the June sales increase</t>
  </si>
  <si>
    <t xml:space="preserve">June revenue was 47.6% above May. Check promotions, seasonal demand, order mix, and stock availability.</t>
  </si>
  <si>
    <t xml:space="preserve">Medium</t>
  </si>
  <si>
    <t xml:space="preserve">Review lower-revenue product performance</t>
  </si>
  <si>
    <t xml:space="preserve">Standing Desk had the lowest revenue. Compare units sold, margin, holding cost, and customer demand before changing price or inventory.</t>
  </si>
  <si>
    <t xml:space="preserve">Study regional differences</t>
  </si>
  <si>
    <t xml:space="preserve">Central led regional revenue while West had the lowest. Review product availability, order size, and sales activity.</t>
  </si>
  <si>
    <t xml:space="preserve">Share effective sales practices</t>
  </si>
  <si>
    <t xml:space="preserve">Priya Herrera recorded the highest revenue. Compare order mix and selling practices, accounting for differences in order volume and assignments.</t>
  </si>
  <si>
    <t xml:space="preserve">Track profit and cost metrics</t>
  </si>
  <si>
    <t xml:space="preserve">Add purchase cost, operating expenses, discounts, returns, and gross margin to future records. Revenue alone cannot show profitability.</t>
  </si>
  <si>
    <t xml:space="preserve">Low</t>
  </si>
  <si>
    <t xml:space="preserve">Use a recurring monthly dashboard</t>
  </si>
  <si>
    <t xml:space="preserve">Refresh summaries to monitor revenue, units sold, average order value, and changes by region, product, and salesperson.</t>
  </si>
</sst>
</file>

<file path=xl/styles.xml><?xml version="1.0" encoding="utf-8"?>
<styleSheet xmlns="http://schemas.openxmlformats.org/spreadsheetml/2006/main">
  <numFmts count="9">
    <numFmt numFmtId="164" formatCode="General"/>
    <numFmt numFmtId="165" formatCode="dd\ mmm\ yyyy"/>
    <numFmt numFmtId="166" formatCode="#,##0"/>
    <numFmt numFmtId="167" formatCode="\$#,##0.00"/>
    <numFmt numFmtId="168" formatCode="0.00"/>
    <numFmt numFmtId="169" formatCode="\$#,##0"/>
    <numFmt numFmtId="170" formatCode="0.0%"/>
    <numFmt numFmtId="171" formatCode="mmm\ yyyy"/>
    <numFmt numFmtId="172" formatCode="0.0%;\-0.0%;0.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6B7785"/>
      <name val="Arial"/>
      <family val="0"/>
      <charset val="1"/>
    </font>
    <font>
      <b val="true"/>
      <sz val="10"/>
      <color rgb="FFFFFFFF"/>
      <name val="Arial"/>
      <family val="0"/>
      <charset val="1"/>
    </font>
    <font>
      <sz val="10"/>
      <color rgb="FF262626"/>
      <name val="Arial"/>
      <family val="0"/>
      <charset val="1"/>
    </font>
    <font>
      <b val="true"/>
      <sz val="10"/>
      <color rgb="FF1F4E78"/>
      <name val="Arial"/>
      <family val="0"/>
      <charset val="1"/>
    </font>
    <font>
      <sz val="10"/>
      <color rgb="FF2E7D32"/>
      <name val="Arial"/>
      <family val="0"/>
      <charset val="1"/>
    </font>
    <font>
      <sz val="10"/>
      <color rgb="FF6B7785"/>
      <name val="Arial"/>
      <family val="0"/>
      <charset val="1"/>
    </font>
    <font>
      <b val="true"/>
      <sz val="18"/>
      <color rgb="FF000000"/>
      <name val="Calibri"/>
      <family val="2"/>
    </font>
    <font>
      <sz val="10"/>
      <color rgb="FF000000"/>
      <name val="Calibri"/>
      <family val="2"/>
    </font>
    <font>
      <b val="true"/>
      <sz val="10"/>
      <color rgb="FF9C2B0E"/>
      <name val="Arial"/>
      <family val="0"/>
      <charset val="1"/>
    </font>
    <font>
      <b val="true"/>
      <sz val="10"/>
      <color rgb="FF262626"/>
      <name val="Arial"/>
      <family val="0"/>
      <charset val="1"/>
    </font>
    <font>
      <b val="true"/>
      <sz val="10"/>
      <color rgb="FF7F6000"/>
      <name val="Arial"/>
      <family val="0"/>
      <charset val="1"/>
    </font>
    <font>
      <b val="true"/>
      <sz val="10"/>
      <color rgb="FF40404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EAF1F8"/>
        <bgColor rgb="FFE6EAF0"/>
      </patternFill>
    </fill>
    <fill>
      <patternFill patternType="solid">
        <fgColor rgb="FFF5F8FC"/>
        <bgColor rgb="FFFFFFFF"/>
      </patternFill>
    </fill>
    <fill>
      <patternFill patternType="solid">
        <fgColor rgb="FF2E75B6"/>
        <bgColor rgb="FF0066CC"/>
      </patternFill>
    </fill>
    <fill>
      <patternFill patternType="solid">
        <fgColor rgb="FFFCE4D6"/>
        <bgColor rgb="FFFFF2CC"/>
      </patternFill>
    </fill>
    <fill>
      <patternFill patternType="solid">
        <fgColor rgb="FFFFF2CC"/>
        <bgColor rgb="FFFCE4D6"/>
      </patternFill>
    </fill>
    <fill>
      <patternFill patternType="solid">
        <fgColor rgb="FFE7E6E6"/>
        <bgColor rgb="FFE6EAF0"/>
      </patternFill>
    </fill>
  </fills>
  <borders count="4">
    <border diagonalUp="false" diagonalDown="false">
      <left/>
      <right/>
      <top/>
      <bottom/>
      <diagonal/>
    </border>
    <border diagonalUp="false" diagonalDown="false">
      <left/>
      <right/>
      <top/>
      <bottom style="thin">
        <color rgb="FFD9E1EA"/>
      </bottom>
      <diagonal/>
    </border>
    <border diagonalUp="false" diagonalDown="false">
      <left style="thick">
        <color rgb="FFFFFFFF"/>
      </left>
      <right/>
      <top/>
      <bottom/>
      <diagonal/>
    </border>
    <border diagonalUp="false" diagonalDown="false">
      <left style="thick">
        <color rgb="FFFFFFFF"/>
      </left>
      <right/>
      <top/>
      <bottom style="thin">
        <color rgb="FFD9E1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1"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1"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1" shrinkToFit="false"/>
      <protection locked="true" hidden="false"/>
    </xf>
    <xf numFmtId="164" fontId="6" fillId="2" borderId="0" xfId="0" applyFont="true" applyBorder="false" applyAlignment="true" applyProtection="false">
      <alignment horizontal="right" vertical="center" textRotation="0" wrapText="true" indent="1" shrinkToFit="false"/>
      <protection locked="true" hidden="false"/>
    </xf>
    <xf numFmtId="164" fontId="8" fillId="0" borderId="1" xfId="0" applyFont="true" applyBorder="true" applyAlignment="true" applyProtection="false">
      <alignment horizontal="left" vertical="center" textRotation="0" wrapText="false" indent="1"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1"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9"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6" fillId="5" borderId="0" xfId="0" applyFont="true" applyBorder="false" applyAlignment="true" applyProtection="false">
      <alignment horizontal="left" vertical="center" textRotation="0" wrapText="false" indent="1" shrinkToFit="false"/>
      <protection locked="true" hidden="false"/>
    </xf>
    <xf numFmtId="164" fontId="6" fillId="5" borderId="2" xfId="0" applyFont="true" applyBorder="true" applyAlignment="true" applyProtection="false">
      <alignment horizontal="left" vertical="center" textRotation="0" wrapText="false" indent="1" shrinkToFit="false"/>
      <protection locked="true" hidden="false"/>
    </xf>
    <xf numFmtId="164" fontId="6" fillId="2" borderId="2" xfId="0" applyFont="true" applyBorder="true" applyAlignment="true" applyProtection="false">
      <alignment horizontal="left" vertical="center" textRotation="0" wrapText="true" indent="1" shrinkToFit="false"/>
      <protection locked="true" hidden="false"/>
    </xf>
    <xf numFmtId="169" fontId="7" fillId="0" borderId="1" xfId="0" applyFont="true" applyBorder="true" applyAlignment="true" applyProtection="false">
      <alignment horizontal="right" vertical="center" textRotation="0" wrapText="false" indent="1" shrinkToFit="false"/>
      <protection locked="true" hidden="false"/>
    </xf>
    <xf numFmtId="170" fontId="7" fillId="0" borderId="1" xfId="0" applyFont="true" applyBorder="true" applyAlignment="true" applyProtection="false">
      <alignment horizontal="right"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1"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xf numFmtId="164" fontId="7" fillId="4" borderId="3" xfId="0" applyFont="true" applyBorder="true" applyAlignment="true" applyProtection="false">
      <alignment horizontal="left" vertical="center" textRotation="0" wrapText="false" indent="1" shrinkToFit="false"/>
      <protection locked="true" hidden="false"/>
    </xf>
    <xf numFmtId="164" fontId="6" fillId="5" borderId="0" xfId="0" applyFont="true" applyBorder="true" applyAlignment="true" applyProtection="false">
      <alignment horizontal="left" vertical="center" textRotation="0" wrapText="false" indent="1" shrinkToFit="false"/>
      <protection locked="true" hidden="false"/>
    </xf>
    <xf numFmtId="171" fontId="7" fillId="0" borderId="1" xfId="0" applyFont="true" applyBorder="true" applyAlignment="true" applyProtection="false">
      <alignment horizontal="left" vertical="center" textRotation="0" wrapText="false" indent="1" shrinkToFit="false"/>
      <protection locked="true" hidden="false"/>
    </xf>
    <xf numFmtId="169" fontId="7" fillId="0" borderId="1" xfId="0" applyFont="true" applyBorder="true" applyAlignment="true" applyProtection="false">
      <alignment horizontal="right" vertical="center" textRotation="0" wrapText="false" indent="0" shrinkToFit="false"/>
      <protection locked="true" hidden="false"/>
    </xf>
    <xf numFmtId="172" fontId="10" fillId="0" borderId="1" xfId="0" applyFont="true" applyBorder="true" applyAlignment="true" applyProtection="false">
      <alignment horizontal="right" vertical="center" textRotation="0" wrapText="false" indent="1" shrinkToFit="false"/>
      <protection locked="true" hidden="false"/>
    </xf>
    <xf numFmtId="171" fontId="7" fillId="4" borderId="1" xfId="0" applyFont="true" applyBorder="true" applyAlignment="true" applyProtection="false">
      <alignment horizontal="left" vertical="center" textRotation="0" wrapText="false" indent="1"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72" fontId="7" fillId="4" borderId="1" xfId="0" applyFont="true" applyBorder="true" applyAlignment="true" applyProtection="false">
      <alignment horizontal="right" vertical="center" textRotation="0" wrapText="false" indent="0" shrinkToFit="false"/>
      <protection locked="true" hidden="false"/>
    </xf>
    <xf numFmtId="172" fontId="7" fillId="0" borderId="1" xfId="0" applyFont="true" applyBorder="true" applyAlignment="true" applyProtection="false">
      <alignment horizontal="right"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left" vertical="center" textRotation="0" wrapText="true" indent="1"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center" textRotation="0" wrapText="true" indent="1"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262626"/>
          <bgColor rgb="FF000000"/>
        </patternFill>
      </fill>
    </dxf>
    <dxf>
      <fill>
        <patternFill patternType="solid">
          <fgColor rgb="FFFFFFFF"/>
          <bgColor rgb="FF000000"/>
        </patternFill>
      </fill>
    </dxf>
    <dxf>
      <fill>
        <patternFill patternType="solid">
          <fgColor rgb="FF2E7D32"/>
          <bgColor rgb="FF000000"/>
        </patternFill>
      </fill>
    </dxf>
    <dxf>
      <font>
        <name val="Arial"/>
        <charset val="1"/>
        <family val="0"/>
        <b val="1"/>
        <color rgb="FF9C0006"/>
      </font>
      <fill>
        <patternFill>
          <bgColor rgb="FFFFC7CE"/>
        </patternFill>
      </fill>
    </dxf>
    <dxf>
      <font>
        <name val="Arial"/>
        <charset val="1"/>
        <family val="0"/>
        <color rgb="FF2E7D32"/>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F5F8FC"/>
      <rgbColor rgb="FF878787"/>
      <rgbColor rgb="FF9999FF"/>
      <rgbColor rgb="FF993366"/>
      <rgbColor rgb="FFFFF2CC"/>
      <rgbColor rgb="FFEAF1F8"/>
      <rgbColor rgb="FF660066"/>
      <rgbColor rgb="FFFF8080"/>
      <rgbColor rgb="FF0066CC"/>
      <rgbColor rgb="FFD9E1EA"/>
      <rgbColor rgb="FF000080"/>
      <rgbColor rgb="FFFF00FF"/>
      <rgbColor rgb="FFFFFF00"/>
      <rgbColor rgb="FF00FFFF"/>
      <rgbColor rgb="FF800080"/>
      <rgbColor rgb="FF800000"/>
      <rgbColor rgb="FF008080"/>
      <rgbColor rgb="FF0000FF"/>
      <rgbColor rgb="FF00CCFF"/>
      <rgbColor rgb="FFE6EAF0"/>
      <rgbColor rgb="FFE7E6E6"/>
      <rgbColor rgb="FFFCE4D6"/>
      <rgbColor rgb="FF99CCFF"/>
      <rgbColor rgb="FFFF99CC"/>
      <rgbColor rgb="FFCC99FF"/>
      <rgbColor rgb="FFFFC7CE"/>
      <rgbColor rgb="FF2E75B6"/>
      <rgbColor rgb="FF33CCCC"/>
      <rgbColor rgb="FF99CC00"/>
      <rgbColor rgb="FFFFCC00"/>
      <rgbColor rgb="FFFF9900"/>
      <rgbColor rgb="FFFF6600"/>
      <rgbColor rgb="FF6B7785"/>
      <rgbColor rgb="FF969696"/>
      <rgbColor rgb="FF003366"/>
      <rgbColor rgb="FF2E7D32"/>
      <rgbColor rgb="FF003300"/>
      <rgbColor rgb="FF404040"/>
      <rgbColor rgb="FF9C2B0E"/>
      <rgbColor rgb="FF993366"/>
      <rgbColor rgb="FF1F4E78"/>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Product</a:t>
            </a:r>
          </a:p>
        </c:rich>
      </c:tx>
      <c:overlay val="0"/>
      <c:spPr>
        <a:noFill/>
        <a:ln w="0">
          <a:noFill/>
        </a:ln>
      </c:spPr>
    </c:title>
    <c:autoTitleDeleted val="0"/>
    <c:plotArea>
      <c:barChart>
        <c:barDir val="bar"/>
        <c:grouping val="clustered"/>
        <c:varyColors val="0"/>
        <c:ser>
          <c:idx val="0"/>
          <c:order val="0"/>
          <c:spPr>
            <a:solidFill>
              <a:srgbClr val="2e75b6"/>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Tables'!$A$6:$A$17</c:f>
              <c:strCache>
                <c:ptCount val="12"/>
                <c:pt idx="0">
                  <c:v>Laptop Stand</c:v>
                </c:pt>
                <c:pt idx="1">
                  <c:v>Webcam 1080p</c:v>
                </c:pt>
                <c:pt idx="2">
                  <c:v>Cable Organizer</c:v>
                </c:pt>
                <c:pt idx="3">
                  <c:v>Wireless Mouse</c:v>
                </c:pt>
                <c:pt idx="4">
                  <c:v>External SSD 1TB</c:v>
                </c:pt>
                <c:pt idx="5">
                  <c:v>Noise-Cancelling Headphones</c:v>
                </c:pt>
                <c:pt idx="6">
                  <c:v>Ergonomic Chair</c:v>
                </c:pt>
                <c:pt idx="7">
                  <c:v>Desk Lamp</c:v>
                </c:pt>
                <c:pt idx="8">
                  <c:v>Mechanical Keyboard</c:v>
                </c:pt>
                <c:pt idx="9">
                  <c:v>27-inch Monitor</c:v>
                </c:pt>
                <c:pt idx="10">
                  <c:v>USB-C Hub</c:v>
                </c:pt>
                <c:pt idx="11">
                  <c:v>Standing Desk</c:v>
                </c:pt>
              </c:strCache>
            </c:strRef>
          </c:cat>
          <c:val>
            <c:numRef>
              <c:f>'Summary Tables'!$D$6:$D$17</c:f>
              <c:numCache>
                <c:formatCode>\$#,##0</c:formatCode>
                <c:ptCount val="12"/>
                <c:pt idx="0">
                  <c:v>18713.9</c:v>
                </c:pt>
                <c:pt idx="1">
                  <c:v>16809.84</c:v>
                </c:pt>
                <c:pt idx="2">
                  <c:v>16142.37</c:v>
                </c:pt>
                <c:pt idx="3">
                  <c:v>14290.77</c:v>
                </c:pt>
                <c:pt idx="4">
                  <c:v>12103.9</c:v>
                </c:pt>
                <c:pt idx="5">
                  <c:v>10674.32</c:v>
                </c:pt>
                <c:pt idx="6">
                  <c:v>10624.93</c:v>
                </c:pt>
                <c:pt idx="7">
                  <c:v>10445.8</c:v>
                </c:pt>
                <c:pt idx="8">
                  <c:v>9513.33</c:v>
                </c:pt>
                <c:pt idx="9">
                  <c:v>8509.33</c:v>
                </c:pt>
                <c:pt idx="10">
                  <c:v>8082.1</c:v>
                </c:pt>
                <c:pt idx="11">
                  <c:v>6526.55</c:v>
                </c:pt>
              </c:numCache>
            </c:numRef>
          </c:val>
        </c:ser>
        <c:gapWidth val="45"/>
        <c:overlap val="0"/>
        <c:axId val="19756078"/>
        <c:axId val="91248199"/>
      </c:barChart>
      <c:catAx>
        <c:axId val="19756078"/>
        <c:scaling>
          <c:orientation val="maxMin"/>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48199"/>
        <c:crosses val="autoZero"/>
        <c:auto val="1"/>
        <c:lblAlgn val="ctr"/>
        <c:lblOffset val="100"/>
        <c:noMultiLvlLbl val="0"/>
      </c:catAx>
      <c:valAx>
        <c:axId val="91248199"/>
        <c:scaling>
          <c:orientation val="minMax"/>
          <c:min val="0"/>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756078"/>
        <c:crossBetween val="between"/>
      </c:valAx>
      <c:spPr>
        <a:noFill/>
        <a:ln w="0">
          <a:noFill/>
        </a:ln>
      </c:spPr>
    </c:plotArea>
    <c:plotVisOnly val="1"/>
    <c:dispBlanksAs val="gap"/>
  </c:chart>
  <c:spPr>
    <a:solidFill>
      <a:srgbClr val="ffffff"/>
    </a:solidFill>
    <a:ln w="9360">
      <a:solidFill>
        <a:srgbClr val="d9e1ea"/>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Region</a:t>
            </a:r>
          </a:p>
        </c:rich>
      </c:tx>
      <c:overlay val="0"/>
      <c:spPr>
        <a:noFill/>
        <a:ln w="0">
          <a:noFill/>
        </a:ln>
      </c:spPr>
    </c:title>
    <c:autoTitleDeleted val="0"/>
    <c:plotArea>
      <c:barChart>
        <c:barDir val="col"/>
        <c:grouping val="clustered"/>
        <c:varyColors val="0"/>
        <c:ser>
          <c:idx val="0"/>
          <c:order val="0"/>
          <c:spPr>
            <a:solidFill>
              <a:srgbClr val="2e75b6"/>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Tables'!$F$6:$F$10</c:f>
              <c:strCache>
                <c:ptCount val="5"/>
                <c:pt idx="0">
                  <c:v>Central</c:v>
                </c:pt>
                <c:pt idx="1">
                  <c:v>South</c:v>
                </c:pt>
                <c:pt idx="2">
                  <c:v>North</c:v>
                </c:pt>
                <c:pt idx="3">
                  <c:v>East</c:v>
                </c:pt>
                <c:pt idx="4">
                  <c:v>West</c:v>
                </c:pt>
              </c:strCache>
            </c:strRef>
          </c:cat>
          <c:val>
            <c:numRef>
              <c:f>'Summary Tables'!$I$6:$I$10</c:f>
              <c:numCache>
                <c:formatCode>\$#,##0</c:formatCode>
                <c:ptCount val="5"/>
                <c:pt idx="0">
                  <c:v>30787.94</c:v>
                </c:pt>
                <c:pt idx="1">
                  <c:v>30083.51</c:v>
                </c:pt>
                <c:pt idx="2">
                  <c:v>28925</c:v>
                </c:pt>
                <c:pt idx="3">
                  <c:v>26485.82</c:v>
                </c:pt>
                <c:pt idx="4">
                  <c:v>26154.87</c:v>
                </c:pt>
              </c:numCache>
            </c:numRef>
          </c:val>
        </c:ser>
        <c:gapWidth val="45"/>
        <c:overlap val="0"/>
        <c:axId val="21328114"/>
        <c:axId val="62877107"/>
      </c:barChart>
      <c:catAx>
        <c:axId val="2132811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77107"/>
        <c:crosses val="autoZero"/>
        <c:auto val="1"/>
        <c:lblAlgn val="ctr"/>
        <c:lblOffset val="100"/>
        <c:noMultiLvlLbl val="0"/>
      </c:catAx>
      <c:valAx>
        <c:axId val="62877107"/>
        <c:scaling>
          <c:orientation val="minMax"/>
          <c:min val="0"/>
        </c:scaling>
        <c:delete val="0"/>
        <c:axPos val="l"/>
        <c:majorGridlines>
          <c:spPr>
            <a:ln w="6480">
              <a:solidFill>
                <a:srgbClr val="e6eaf0"/>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28114"/>
        <c:crosses val="autoZero"/>
        <c:crossBetween val="between"/>
      </c:valAx>
      <c:spPr>
        <a:noFill/>
        <a:ln w="0">
          <a:noFill/>
        </a:ln>
      </c:spPr>
    </c:plotArea>
    <c:plotVisOnly val="1"/>
    <c:dispBlanksAs val="gap"/>
  </c:chart>
  <c:spPr>
    <a:solidFill>
      <a:srgbClr val="ffffff"/>
    </a:solidFill>
    <a:ln w="9360">
      <a:solidFill>
        <a:srgbClr val="d9e1ea"/>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Salesperson</a:t>
            </a:r>
          </a:p>
        </c:rich>
      </c:tx>
      <c:overlay val="0"/>
      <c:spPr>
        <a:noFill/>
        <a:ln w="0">
          <a:noFill/>
        </a:ln>
      </c:spPr>
    </c:title>
    <c:autoTitleDeleted val="0"/>
    <c:plotArea>
      <c:barChart>
        <c:barDir val="bar"/>
        <c:grouping val="clustered"/>
        <c:varyColors val="0"/>
        <c:ser>
          <c:idx val="0"/>
          <c:order val="0"/>
          <c:spPr>
            <a:solidFill>
              <a:srgbClr val="2e75b6"/>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Tables'!$K$6:$K$11</c:f>
              <c:strCache>
                <c:ptCount val="6"/>
                <c:pt idx="0">
                  <c:v>Priya Herrera</c:v>
                </c:pt>
                <c:pt idx="1">
                  <c:v>Sofia Kowalski</c:v>
                </c:pt>
                <c:pt idx="2">
                  <c:v>Tomás Tanaka</c:v>
                </c:pt>
                <c:pt idx="3">
                  <c:v>Omar Haddad</c:v>
                </c:pt>
                <c:pt idx="4">
                  <c:v>Elena Cohen</c:v>
                </c:pt>
                <c:pt idx="5">
                  <c:v>Chen Bennett</c:v>
                </c:pt>
              </c:strCache>
            </c:strRef>
          </c:cat>
          <c:val>
            <c:numRef>
              <c:f>'Summary Tables'!$N$6:$N$11</c:f>
              <c:numCache>
                <c:formatCode>\$#,##0</c:formatCode>
                <c:ptCount val="6"/>
                <c:pt idx="0">
                  <c:v>28195.51</c:v>
                </c:pt>
                <c:pt idx="1">
                  <c:v>24885.19</c:v>
                </c:pt>
                <c:pt idx="2">
                  <c:v>24112.18</c:v>
                </c:pt>
                <c:pt idx="3">
                  <c:v>22989.34</c:v>
                </c:pt>
                <c:pt idx="4">
                  <c:v>21737.26</c:v>
                </c:pt>
                <c:pt idx="5">
                  <c:v>20517.66</c:v>
                </c:pt>
              </c:numCache>
            </c:numRef>
          </c:val>
        </c:ser>
        <c:gapWidth val="45"/>
        <c:overlap val="0"/>
        <c:axId val="31439250"/>
        <c:axId val="60924296"/>
      </c:barChart>
      <c:catAx>
        <c:axId val="31439250"/>
        <c:scaling>
          <c:orientation val="maxMin"/>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24296"/>
        <c:crosses val="autoZero"/>
        <c:auto val="1"/>
        <c:lblAlgn val="ctr"/>
        <c:lblOffset val="100"/>
        <c:noMultiLvlLbl val="0"/>
      </c:catAx>
      <c:valAx>
        <c:axId val="60924296"/>
        <c:scaling>
          <c:orientation val="minMax"/>
          <c:min val="0"/>
        </c:scaling>
        <c:delete val="1"/>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39250"/>
        <c:crossBetween val="between"/>
      </c:valAx>
      <c:spPr>
        <a:noFill/>
        <a:ln w="0">
          <a:noFill/>
        </a:ln>
      </c:spPr>
    </c:plotArea>
    <c:plotVisOnly val="1"/>
    <c:dispBlanksAs val="gap"/>
  </c:chart>
  <c:spPr>
    <a:solidFill>
      <a:srgbClr val="ffffff"/>
    </a:solidFill>
    <a:ln w="9360">
      <a:solidFill>
        <a:srgbClr val="d9e1ea"/>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spPr>
            <a:solidFill>
              <a:srgbClr val="1f4e78"/>
            </a:solidFill>
            <a:ln w="28440">
              <a:solidFill>
                <a:srgbClr val="1f4e78"/>
              </a:solidFill>
              <a:round/>
            </a:ln>
          </c:spPr>
          <c:marker>
            <c:symbol val="circle"/>
            <c:size val="7"/>
            <c:spPr>
              <a:solidFill>
                <a:srgbClr val="1f4e78"/>
              </a:solidFill>
            </c:spPr>
          </c:marker>
          <c:dLbls>
            <c:numFmt formatCode="\$#,##0" sourceLinked="1"/>
            <c:txPr>
              <a:bodyPr wrap="square"/>
              <a:lstStyle/>
              <a:p>
                <a:pPr>
                  <a:defRPr b="0" sz="1000" spc="-1" strike="noStrike">
                    <a:solidFill>
                      <a:srgbClr val="000000"/>
                    </a:solidFill>
                    <a:latin typeface="Calibri"/>
                  </a:defRPr>
                </a:pPr>
              </a:p>
            </c:txPr>
            <c:dLblPos val="t"/>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'Summary Tables'!$A$24:$A$29</c:f>
              <c:strCache>
                <c:ptCount val="6"/>
                <c:pt idx="0">
                  <c:v>Jan 2026</c:v>
                </c:pt>
                <c:pt idx="1">
                  <c:v>Feb 2026</c:v>
                </c:pt>
                <c:pt idx="2">
                  <c:v>Mar 2026</c:v>
                </c:pt>
                <c:pt idx="3">
                  <c:v>Apr 2026</c:v>
                </c:pt>
                <c:pt idx="4">
                  <c:v>May 2026</c:v>
                </c:pt>
                <c:pt idx="5">
                  <c:v>Jun 2026</c:v>
                </c:pt>
              </c:strCache>
            </c:strRef>
          </c:cat>
          <c:val>
            <c:numRef>
              <c:f>'Summary Tables'!$D$24:$D$29</c:f>
              <c:numCache>
                <c:formatCode>\$#,##0</c:formatCode>
                <c:ptCount val="6"/>
                <c:pt idx="0">
                  <c:v>24177.45</c:v>
                </c:pt>
                <c:pt idx="1">
                  <c:v>13788.89</c:v>
                </c:pt>
                <c:pt idx="2">
                  <c:v>19390.28</c:v>
                </c:pt>
                <c:pt idx="3">
                  <c:v>23471.38</c:v>
                </c:pt>
                <c:pt idx="4">
                  <c:v>24885.97</c:v>
                </c:pt>
                <c:pt idx="5">
                  <c:v>36723.17</c:v>
                </c:pt>
              </c:numCache>
            </c:numRef>
          </c:val>
          <c:smooth val="0"/>
        </c:ser>
        <c:hiLowLines>
          <c:spPr>
            <a:ln w="0">
              <a:noFill/>
            </a:ln>
          </c:spPr>
        </c:hiLowLines>
        <c:marker val="1"/>
        <c:axId val="12863138"/>
        <c:axId val="37787591"/>
      </c:lineChart>
      <c:catAx>
        <c:axId val="12863138"/>
        <c:scaling>
          <c:orientation val="minMax"/>
        </c:scaling>
        <c:delete val="0"/>
        <c:axPos val="b"/>
        <c:numFmt formatCode="mmm\ 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787591"/>
        <c:crosses val="autoZero"/>
        <c:auto val="1"/>
        <c:lblAlgn val="ctr"/>
        <c:lblOffset val="100"/>
        <c:noMultiLvlLbl val="0"/>
      </c:catAx>
      <c:valAx>
        <c:axId val="37787591"/>
        <c:scaling>
          <c:orientation val="minMax"/>
          <c:min val="0"/>
        </c:scaling>
        <c:delete val="0"/>
        <c:axPos val="l"/>
        <c:majorGridlines>
          <c:spPr>
            <a:ln w="6480">
              <a:solidFill>
                <a:srgbClr val="e6eaf0"/>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863138"/>
        <c:crosses val="autoZero"/>
        <c:crossBetween val="between"/>
      </c:valAx>
      <c:spPr>
        <a:noFill/>
        <a:ln w="0">
          <a:noFill/>
        </a:ln>
      </c:spPr>
    </c:plotArea>
    <c:plotVisOnly val="1"/>
    <c:dispBlanksAs val="gap"/>
  </c:chart>
  <c:spPr>
    <a:solidFill>
      <a:srgbClr val="ffffff"/>
    </a:solidFill>
    <a:ln w="9360">
      <a:solidFill>
        <a:srgbClr val="d9e1ea"/>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0</xdr:rowOff>
    </xdr:from>
    <xdr:to>
      <xdr:col>8</xdr:col>
      <xdr:colOff>399960</xdr:colOff>
      <xdr:row>19</xdr:row>
      <xdr:rowOff>11520</xdr:rowOff>
    </xdr:to>
    <xdr:graphicFrame>
      <xdr:nvGraphicFramePr>
        <xdr:cNvPr id="0" name="Chart 1"/>
        <xdr:cNvGraphicFramePr/>
      </xdr:nvGraphicFramePr>
      <xdr:xfrm>
        <a:off x="0" y="885960"/>
        <a:ext cx="57643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0</xdr:rowOff>
    </xdr:from>
    <xdr:to>
      <xdr:col>17</xdr:col>
      <xdr:colOff>399960</xdr:colOff>
      <xdr:row>19</xdr:row>
      <xdr:rowOff>11520</xdr:rowOff>
    </xdr:to>
    <xdr:graphicFrame>
      <xdr:nvGraphicFramePr>
        <xdr:cNvPr id="1" name="Chart 2"/>
        <xdr:cNvGraphicFramePr/>
      </xdr:nvGraphicFramePr>
      <xdr:xfrm>
        <a:off x="6035040" y="885960"/>
        <a:ext cx="57643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21</xdr:row>
      <xdr:rowOff>0</xdr:rowOff>
    </xdr:from>
    <xdr:to>
      <xdr:col>17</xdr:col>
      <xdr:colOff>399960</xdr:colOff>
      <xdr:row>37</xdr:row>
      <xdr:rowOff>11520</xdr:rowOff>
    </xdr:to>
    <xdr:graphicFrame>
      <xdr:nvGraphicFramePr>
        <xdr:cNvPr id="2" name="Chart 3"/>
        <xdr:cNvGraphicFramePr/>
      </xdr:nvGraphicFramePr>
      <xdr:xfrm>
        <a:off x="6035040" y="4314960"/>
        <a:ext cx="576432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21</xdr:row>
      <xdr:rowOff>0</xdr:rowOff>
    </xdr:from>
    <xdr:to>
      <xdr:col>8</xdr:col>
      <xdr:colOff>399960</xdr:colOff>
      <xdr:row>37</xdr:row>
      <xdr:rowOff>11520</xdr:rowOff>
    </xdr:to>
    <xdr:graphicFrame>
      <xdr:nvGraphicFramePr>
        <xdr:cNvPr id="3" name="Chart 4"/>
        <xdr:cNvGraphicFramePr/>
      </xdr:nvGraphicFramePr>
      <xdr:xfrm>
        <a:off x="0" y="4314960"/>
        <a:ext cx="576432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SalesData" displayName="SalesData" ref="A4:I244" headerRowCount="1" totalsRowCount="0" totalsRowShown="0">
  <autoFilter ref="A4:I244"/>
  <tableColumns count="9">
    <tableColumn id="1" name="Order Id"/>
    <tableColumn id="2" name="Date"/>
    <tableColumn id="3" name="Product"/>
    <tableColumn id="4" name="Quantity"/>
    <tableColumn id="5" name="Unit Price"/>
    <tableColumn id="6" name="Total"/>
    <tableColumn id="7" name="Region"/>
    <tableColumn id="8" name="Salesperson"/>
    <tableColumn id="9" name="Total Chec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I2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4"/>
    <col collapsed="false" customWidth="true" hidden="false" outlineLevel="0" max="3" min="3" style="1" width="30"/>
    <col collapsed="false" customWidth="true" hidden="false" outlineLevel="0" max="4" min="4" style="1" width="11"/>
    <col collapsed="false" customWidth="true" hidden="false" outlineLevel="0" max="5" min="5" style="1" width="14"/>
    <col collapsed="false" customWidth="true" hidden="false" outlineLevel="0" max="6" min="6" style="1" width="15"/>
    <col collapsed="false" customWidth="true" hidden="false" outlineLevel="0" max="7" min="7" style="1" width="12"/>
    <col collapsed="false" customWidth="true" hidden="false" outlineLevel="0" max="8" min="8" style="1" width="20"/>
    <col collapsed="false" customWidth="true" hidden="false" outlineLevel="0" max="9" min="9" style="1" width="13"/>
  </cols>
  <sheetData>
    <row r="1" customFormat="false" ht="30" hidden="false" customHeight="true" outlineLevel="0" collapsed="false">
      <c r="A1" s="2" t="s">
        <v>0</v>
      </c>
      <c r="B1" s="2"/>
      <c r="C1" s="2"/>
      <c r="D1" s="2"/>
      <c r="E1" s="2"/>
      <c r="F1" s="2"/>
      <c r="G1" s="2"/>
      <c r="H1" s="2"/>
      <c r="I1" s="2"/>
    </row>
    <row r="2" customFormat="false" ht="30" hidden="false" customHeight="true" outlineLevel="0" collapsed="false">
      <c r="A2" s="3" t="s">
        <v>1</v>
      </c>
      <c r="B2" s="3"/>
      <c r="C2" s="3"/>
      <c r="D2" s="3"/>
      <c r="E2" s="3"/>
      <c r="F2" s="3"/>
      <c r="G2" s="3"/>
      <c r="H2" s="3"/>
      <c r="I2" s="3"/>
    </row>
    <row r="3" customFormat="false" ht="9.75" hidden="false" customHeight="true" outlineLevel="0" collapsed="false"/>
    <row r="4" customFormat="false" ht="24" hidden="false" customHeight="true" outlineLevel="0" collapsed="false">
      <c r="A4" s="4" t="s">
        <v>2</v>
      </c>
      <c r="B4" s="4" t="s">
        <v>3</v>
      </c>
      <c r="C4" s="4" t="s">
        <v>4</v>
      </c>
      <c r="D4" s="4" t="s">
        <v>5</v>
      </c>
      <c r="E4" s="4" t="s">
        <v>6</v>
      </c>
      <c r="F4" s="4" t="s">
        <v>7</v>
      </c>
      <c r="G4" s="4" t="s">
        <v>8</v>
      </c>
      <c r="H4" s="4" t="s">
        <v>9</v>
      </c>
      <c r="I4" s="4" t="s">
        <v>10</v>
      </c>
    </row>
    <row r="5" customFormat="false" ht="19.5" hidden="false" customHeight="true" outlineLevel="0" collapsed="false">
      <c r="A5" s="5" t="s">
        <v>11</v>
      </c>
      <c r="B5" s="6" t="n">
        <v>46146</v>
      </c>
      <c r="C5" s="5" t="s">
        <v>12</v>
      </c>
      <c r="D5" s="7" t="n">
        <v>6</v>
      </c>
      <c r="E5" s="8" t="n">
        <v>112.7</v>
      </c>
      <c r="F5" s="8" t="n">
        <v>676.2</v>
      </c>
      <c r="G5" s="5" t="s">
        <v>13</v>
      </c>
      <c r="H5" s="5" t="s">
        <v>14</v>
      </c>
      <c r="I5" s="9" t="str">
        <f aca="false">IF(ABS(F5-D5*E5)&lt;0.011,"OK","Check")</f>
        <v>OK</v>
      </c>
    </row>
    <row r="6" customFormat="false" ht="19.5" hidden="false" customHeight="true" outlineLevel="0" collapsed="false">
      <c r="A6" s="5" t="s">
        <v>15</v>
      </c>
      <c r="B6" s="6" t="n">
        <v>46199</v>
      </c>
      <c r="C6" s="5" t="s">
        <v>16</v>
      </c>
      <c r="D6" s="7" t="n">
        <v>6</v>
      </c>
      <c r="E6" s="8" t="n">
        <v>35.78</v>
      </c>
      <c r="F6" s="8" t="n">
        <v>214.68</v>
      </c>
      <c r="G6" s="5" t="s">
        <v>17</v>
      </c>
      <c r="H6" s="5" t="s">
        <v>14</v>
      </c>
      <c r="I6" s="9" t="str">
        <f aca="false">IF(ABS(F6-D6*E6)&lt;0.011,"OK","Check")</f>
        <v>OK</v>
      </c>
    </row>
    <row r="7" customFormat="false" ht="19.5" hidden="false" customHeight="true" outlineLevel="0" collapsed="false">
      <c r="A7" s="5" t="s">
        <v>18</v>
      </c>
      <c r="B7" s="6" t="n">
        <v>46089</v>
      </c>
      <c r="C7" s="5" t="s">
        <v>19</v>
      </c>
      <c r="D7" s="7" t="n">
        <v>1</v>
      </c>
      <c r="E7" s="8" t="n">
        <v>111.15</v>
      </c>
      <c r="F7" s="8" t="n">
        <v>111.15</v>
      </c>
      <c r="G7" s="5" t="s">
        <v>17</v>
      </c>
      <c r="H7" s="5" t="s">
        <v>20</v>
      </c>
      <c r="I7" s="9" t="str">
        <f aca="false">IF(ABS(F7-D7*E7)&lt;0.011,"OK","Check")</f>
        <v>OK</v>
      </c>
    </row>
    <row r="8" customFormat="false" ht="19.5" hidden="false" customHeight="true" outlineLevel="0" collapsed="false">
      <c r="A8" s="5" t="s">
        <v>21</v>
      </c>
      <c r="B8" s="6" t="n">
        <v>46067</v>
      </c>
      <c r="C8" s="5" t="s">
        <v>22</v>
      </c>
      <c r="D8" s="7" t="n">
        <v>1</v>
      </c>
      <c r="E8" s="8" t="n">
        <v>112.67</v>
      </c>
      <c r="F8" s="8" t="n">
        <v>112.67</v>
      </c>
      <c r="G8" s="5" t="s">
        <v>23</v>
      </c>
      <c r="H8" s="5" t="s">
        <v>24</v>
      </c>
      <c r="I8" s="9" t="str">
        <f aca="false">IF(ABS(F8-D8*E8)&lt;0.011,"OK","Check")</f>
        <v>OK</v>
      </c>
    </row>
    <row r="9" customFormat="false" ht="19.5" hidden="false" customHeight="true" outlineLevel="0" collapsed="false">
      <c r="A9" s="5" t="s">
        <v>25</v>
      </c>
      <c r="B9" s="6" t="n">
        <v>46075</v>
      </c>
      <c r="C9" s="5" t="s">
        <v>22</v>
      </c>
      <c r="D9" s="7" t="n">
        <v>1</v>
      </c>
      <c r="E9" s="8" t="n">
        <v>54.09</v>
      </c>
      <c r="F9" s="8" t="n">
        <v>54.09</v>
      </c>
      <c r="G9" s="5" t="s">
        <v>26</v>
      </c>
      <c r="H9" s="5" t="s">
        <v>14</v>
      </c>
      <c r="I9" s="9" t="str">
        <f aca="false">IF(ABS(F9-D9*E9)&lt;0.011,"OK","Check")</f>
        <v>OK</v>
      </c>
    </row>
    <row r="10" customFormat="false" ht="19.5" hidden="false" customHeight="true" outlineLevel="0" collapsed="false">
      <c r="A10" s="5" t="s">
        <v>27</v>
      </c>
      <c r="B10" s="6" t="n">
        <v>46040</v>
      </c>
      <c r="C10" s="5" t="s">
        <v>28</v>
      </c>
      <c r="D10" s="7" t="n">
        <v>4</v>
      </c>
      <c r="E10" s="8" t="n">
        <v>215.54</v>
      </c>
      <c r="F10" s="8" t="n">
        <v>862.16</v>
      </c>
      <c r="G10" s="5" t="s">
        <v>29</v>
      </c>
      <c r="H10" s="5" t="s">
        <v>24</v>
      </c>
      <c r="I10" s="9" t="str">
        <f aca="false">IF(ABS(F10-D10*E10)&lt;0.011,"OK","Check")</f>
        <v>OK</v>
      </c>
    </row>
    <row r="11" customFormat="false" ht="19.5" hidden="false" customHeight="true" outlineLevel="0" collapsed="false">
      <c r="A11" s="5" t="s">
        <v>30</v>
      </c>
      <c r="B11" s="6" t="n">
        <v>46125</v>
      </c>
      <c r="C11" s="5" t="s">
        <v>31</v>
      </c>
      <c r="D11" s="7" t="n">
        <v>3</v>
      </c>
      <c r="E11" s="8" t="n">
        <v>17.52</v>
      </c>
      <c r="F11" s="8" t="n">
        <v>52.56</v>
      </c>
      <c r="G11" s="5" t="s">
        <v>23</v>
      </c>
      <c r="H11" s="5" t="s">
        <v>32</v>
      </c>
      <c r="I11" s="9" t="str">
        <f aca="false">IF(ABS(F11-D11*E11)&lt;0.011,"OK","Check")</f>
        <v>OK</v>
      </c>
    </row>
    <row r="12" customFormat="false" ht="19.5" hidden="false" customHeight="true" outlineLevel="0" collapsed="false">
      <c r="A12" s="5" t="s">
        <v>33</v>
      </c>
      <c r="B12" s="6" t="n">
        <v>46148</v>
      </c>
      <c r="C12" s="5" t="s">
        <v>34</v>
      </c>
      <c r="D12" s="7" t="n">
        <v>6</v>
      </c>
      <c r="E12" s="8" t="n">
        <v>181.65</v>
      </c>
      <c r="F12" s="8" t="n">
        <v>1089.9</v>
      </c>
      <c r="G12" s="5" t="s">
        <v>29</v>
      </c>
      <c r="H12" s="5" t="s">
        <v>24</v>
      </c>
      <c r="I12" s="9" t="str">
        <f aca="false">IF(ABS(F12-D12*E12)&lt;0.011,"OK","Check")</f>
        <v>OK</v>
      </c>
    </row>
    <row r="13" customFormat="false" ht="19.5" hidden="false" customHeight="true" outlineLevel="0" collapsed="false">
      <c r="A13" s="5" t="s">
        <v>35</v>
      </c>
      <c r="B13" s="6" t="n">
        <v>46116</v>
      </c>
      <c r="C13" s="5" t="s">
        <v>36</v>
      </c>
      <c r="D13" s="7" t="n">
        <v>8</v>
      </c>
      <c r="E13" s="8" t="n">
        <v>28.72</v>
      </c>
      <c r="F13" s="8" t="n">
        <v>229.76</v>
      </c>
      <c r="G13" s="5" t="s">
        <v>23</v>
      </c>
      <c r="H13" s="5" t="s">
        <v>14</v>
      </c>
      <c r="I13" s="9" t="str">
        <f aca="false">IF(ABS(F13-D13*E13)&lt;0.011,"OK","Check")</f>
        <v>OK</v>
      </c>
    </row>
    <row r="14" customFormat="false" ht="19.5" hidden="false" customHeight="true" outlineLevel="0" collapsed="false">
      <c r="A14" s="5" t="s">
        <v>37</v>
      </c>
      <c r="B14" s="6" t="n">
        <v>46082</v>
      </c>
      <c r="C14" s="5" t="s">
        <v>38</v>
      </c>
      <c r="D14" s="7" t="n">
        <v>7</v>
      </c>
      <c r="E14" s="8" t="n">
        <v>143.97</v>
      </c>
      <c r="F14" s="8" t="n">
        <v>1007.79</v>
      </c>
      <c r="G14" s="5" t="s">
        <v>23</v>
      </c>
      <c r="H14" s="5" t="s">
        <v>39</v>
      </c>
      <c r="I14" s="9" t="str">
        <f aca="false">IF(ABS(F14-D14*E14)&lt;0.011,"OK","Check")</f>
        <v>OK</v>
      </c>
    </row>
    <row r="15" customFormat="false" ht="19.5" hidden="false" customHeight="true" outlineLevel="0" collapsed="false">
      <c r="A15" s="5" t="s">
        <v>40</v>
      </c>
      <c r="B15" s="6" t="n">
        <v>46049</v>
      </c>
      <c r="C15" s="5" t="s">
        <v>31</v>
      </c>
      <c r="D15" s="7" t="n">
        <v>7</v>
      </c>
      <c r="E15" s="8" t="n">
        <v>147.79</v>
      </c>
      <c r="F15" s="8" t="n">
        <v>1034.53</v>
      </c>
      <c r="G15" s="5" t="s">
        <v>13</v>
      </c>
      <c r="H15" s="5" t="s">
        <v>39</v>
      </c>
      <c r="I15" s="9" t="str">
        <f aca="false">IF(ABS(F15-D15*E15)&lt;0.011,"OK","Check")</f>
        <v>OK</v>
      </c>
    </row>
    <row r="16" customFormat="false" ht="19.5" hidden="false" customHeight="true" outlineLevel="0" collapsed="false">
      <c r="A16" s="5" t="s">
        <v>41</v>
      </c>
      <c r="B16" s="6" t="n">
        <v>46161</v>
      </c>
      <c r="C16" s="5" t="s">
        <v>42</v>
      </c>
      <c r="D16" s="7" t="n">
        <v>5</v>
      </c>
      <c r="E16" s="8" t="n">
        <v>206.67</v>
      </c>
      <c r="F16" s="8" t="n">
        <v>1033.35</v>
      </c>
      <c r="G16" s="5" t="s">
        <v>13</v>
      </c>
      <c r="H16" s="5" t="s">
        <v>43</v>
      </c>
      <c r="I16" s="9" t="str">
        <f aca="false">IF(ABS(F16-D16*E16)&lt;0.011,"OK","Check")</f>
        <v>OK</v>
      </c>
    </row>
    <row r="17" customFormat="false" ht="19.5" hidden="false" customHeight="true" outlineLevel="0" collapsed="false">
      <c r="A17" s="5" t="s">
        <v>44</v>
      </c>
      <c r="B17" s="6" t="n">
        <v>46131</v>
      </c>
      <c r="C17" s="5" t="s">
        <v>16</v>
      </c>
      <c r="D17" s="7" t="n">
        <v>6</v>
      </c>
      <c r="E17" s="8" t="n">
        <v>119.74</v>
      </c>
      <c r="F17" s="8" t="n">
        <v>718.44</v>
      </c>
      <c r="G17" s="5" t="s">
        <v>17</v>
      </c>
      <c r="H17" s="5" t="s">
        <v>32</v>
      </c>
      <c r="I17" s="9" t="str">
        <f aca="false">IF(ABS(F17-D17*E17)&lt;0.011,"OK","Check")</f>
        <v>OK</v>
      </c>
    </row>
    <row r="18" customFormat="false" ht="19.5" hidden="false" customHeight="true" outlineLevel="0" collapsed="false">
      <c r="A18" s="5" t="s">
        <v>45</v>
      </c>
      <c r="B18" s="6" t="n">
        <v>46128</v>
      </c>
      <c r="C18" s="5" t="s">
        <v>12</v>
      </c>
      <c r="D18" s="7" t="n">
        <v>2</v>
      </c>
      <c r="E18" s="8" t="n">
        <v>179.18</v>
      </c>
      <c r="F18" s="8" t="n">
        <v>358.36</v>
      </c>
      <c r="G18" s="5" t="s">
        <v>13</v>
      </c>
      <c r="H18" s="5" t="s">
        <v>32</v>
      </c>
      <c r="I18" s="9" t="str">
        <f aca="false">IF(ABS(F18-D18*E18)&lt;0.011,"OK","Check")</f>
        <v>OK</v>
      </c>
    </row>
    <row r="19" customFormat="false" ht="19.5" hidden="false" customHeight="true" outlineLevel="0" collapsed="false">
      <c r="A19" s="5" t="s">
        <v>46</v>
      </c>
      <c r="B19" s="6" t="n">
        <v>46187</v>
      </c>
      <c r="C19" s="5" t="s">
        <v>47</v>
      </c>
      <c r="D19" s="7" t="n">
        <v>8</v>
      </c>
      <c r="E19" s="8" t="n">
        <v>149.41</v>
      </c>
      <c r="F19" s="8" t="n">
        <v>1195.28</v>
      </c>
      <c r="G19" s="5" t="s">
        <v>23</v>
      </c>
      <c r="H19" s="5" t="s">
        <v>43</v>
      </c>
      <c r="I19" s="9" t="str">
        <f aca="false">IF(ABS(F19-D19*E19)&lt;0.011,"OK","Check")</f>
        <v>OK</v>
      </c>
    </row>
    <row r="20" customFormat="false" ht="19.5" hidden="false" customHeight="true" outlineLevel="0" collapsed="false">
      <c r="A20" s="5" t="s">
        <v>48</v>
      </c>
      <c r="B20" s="6" t="n">
        <v>46028</v>
      </c>
      <c r="C20" s="5" t="s">
        <v>38</v>
      </c>
      <c r="D20" s="7" t="n">
        <v>1</v>
      </c>
      <c r="E20" s="8" t="n">
        <v>223.56</v>
      </c>
      <c r="F20" s="8" t="n">
        <v>223.56</v>
      </c>
      <c r="G20" s="5" t="s">
        <v>26</v>
      </c>
      <c r="H20" s="5" t="s">
        <v>20</v>
      </c>
      <c r="I20" s="9" t="str">
        <f aca="false">IF(ABS(F20-D20*E20)&lt;0.011,"OK","Check")</f>
        <v>OK</v>
      </c>
    </row>
    <row r="21" customFormat="false" ht="19.5" hidden="false" customHeight="true" outlineLevel="0" collapsed="false">
      <c r="A21" s="5" t="s">
        <v>49</v>
      </c>
      <c r="B21" s="6" t="n">
        <v>46092</v>
      </c>
      <c r="C21" s="5" t="s">
        <v>28</v>
      </c>
      <c r="D21" s="7" t="n">
        <v>7</v>
      </c>
      <c r="E21" s="8" t="n">
        <v>59.12</v>
      </c>
      <c r="F21" s="8" t="n">
        <v>413.84</v>
      </c>
      <c r="G21" s="5" t="s">
        <v>13</v>
      </c>
      <c r="H21" s="5" t="s">
        <v>43</v>
      </c>
      <c r="I21" s="9" t="str">
        <f aca="false">IF(ABS(F21-D21*E21)&lt;0.011,"OK","Check")</f>
        <v>OK</v>
      </c>
    </row>
    <row r="22" customFormat="false" ht="19.5" hidden="false" customHeight="true" outlineLevel="0" collapsed="false">
      <c r="A22" s="5" t="s">
        <v>50</v>
      </c>
      <c r="B22" s="6" t="n">
        <v>46129</v>
      </c>
      <c r="C22" s="5" t="s">
        <v>12</v>
      </c>
      <c r="D22" s="7" t="n">
        <v>7</v>
      </c>
      <c r="E22" s="8" t="n">
        <v>90.62</v>
      </c>
      <c r="F22" s="8" t="n">
        <v>634.34</v>
      </c>
      <c r="G22" s="5" t="s">
        <v>23</v>
      </c>
      <c r="H22" s="5" t="s">
        <v>39</v>
      </c>
      <c r="I22" s="9" t="str">
        <f aca="false">IF(ABS(F22-D22*E22)&lt;0.011,"OK","Check")</f>
        <v>OK</v>
      </c>
    </row>
    <row r="23" customFormat="false" ht="19.5" hidden="false" customHeight="true" outlineLevel="0" collapsed="false">
      <c r="A23" s="5" t="s">
        <v>51</v>
      </c>
      <c r="B23" s="6" t="n">
        <v>46032</v>
      </c>
      <c r="C23" s="5" t="s">
        <v>22</v>
      </c>
      <c r="D23" s="7" t="n">
        <v>2</v>
      </c>
      <c r="E23" s="8" t="n">
        <v>197.09</v>
      </c>
      <c r="F23" s="8" t="n">
        <v>394.18</v>
      </c>
      <c r="G23" s="5" t="s">
        <v>23</v>
      </c>
      <c r="H23" s="5" t="s">
        <v>14</v>
      </c>
      <c r="I23" s="9" t="str">
        <f aca="false">IF(ABS(F23-D23*E23)&lt;0.011,"OK","Check")</f>
        <v>OK</v>
      </c>
    </row>
    <row r="24" customFormat="false" ht="19.5" hidden="false" customHeight="true" outlineLevel="0" collapsed="false">
      <c r="A24" s="5" t="s">
        <v>52</v>
      </c>
      <c r="B24" s="6" t="n">
        <v>46202</v>
      </c>
      <c r="C24" s="5" t="s">
        <v>36</v>
      </c>
      <c r="D24" s="7" t="n">
        <v>4</v>
      </c>
      <c r="E24" s="8" t="n">
        <v>167.13</v>
      </c>
      <c r="F24" s="8" t="n">
        <v>668.52</v>
      </c>
      <c r="G24" s="5" t="s">
        <v>23</v>
      </c>
      <c r="H24" s="5" t="s">
        <v>39</v>
      </c>
      <c r="I24" s="9" t="str">
        <f aca="false">IF(ABS(F24-D24*E24)&lt;0.011,"OK","Check")</f>
        <v>OK</v>
      </c>
    </row>
    <row r="25" customFormat="false" ht="19.5" hidden="false" customHeight="true" outlineLevel="0" collapsed="false">
      <c r="A25" s="5" t="s">
        <v>53</v>
      </c>
      <c r="B25" s="6" t="n">
        <v>46128</v>
      </c>
      <c r="C25" s="5" t="s">
        <v>42</v>
      </c>
      <c r="D25" s="7" t="n">
        <v>3</v>
      </c>
      <c r="E25" s="8" t="n">
        <v>63.19</v>
      </c>
      <c r="F25" s="8" t="n">
        <v>189.57</v>
      </c>
      <c r="G25" s="5" t="s">
        <v>17</v>
      </c>
      <c r="H25" s="5" t="s">
        <v>14</v>
      </c>
      <c r="I25" s="9" t="str">
        <f aca="false">IF(ABS(F25-D25*E25)&lt;0.011,"OK","Check")</f>
        <v>OK</v>
      </c>
    </row>
    <row r="26" customFormat="false" ht="19.5" hidden="false" customHeight="true" outlineLevel="0" collapsed="false">
      <c r="A26" s="5" t="s">
        <v>54</v>
      </c>
      <c r="B26" s="6" t="n">
        <v>46098</v>
      </c>
      <c r="C26" s="5" t="s">
        <v>47</v>
      </c>
      <c r="D26" s="7" t="n">
        <v>3</v>
      </c>
      <c r="E26" s="8" t="n">
        <v>36.67</v>
      </c>
      <c r="F26" s="8" t="n">
        <v>110.01</v>
      </c>
      <c r="G26" s="5" t="s">
        <v>23</v>
      </c>
      <c r="H26" s="5" t="s">
        <v>32</v>
      </c>
      <c r="I26" s="9" t="str">
        <f aca="false">IF(ABS(F26-D26*E26)&lt;0.011,"OK","Check")</f>
        <v>OK</v>
      </c>
    </row>
    <row r="27" customFormat="false" ht="19.5" hidden="false" customHeight="true" outlineLevel="0" collapsed="false">
      <c r="A27" s="5" t="s">
        <v>55</v>
      </c>
      <c r="B27" s="6" t="n">
        <v>46107</v>
      </c>
      <c r="C27" s="5" t="s">
        <v>16</v>
      </c>
      <c r="D27" s="7" t="n">
        <v>2</v>
      </c>
      <c r="E27" s="8" t="n">
        <v>179.02</v>
      </c>
      <c r="F27" s="8" t="n">
        <v>358.04</v>
      </c>
      <c r="G27" s="5" t="s">
        <v>26</v>
      </c>
      <c r="H27" s="5" t="s">
        <v>24</v>
      </c>
      <c r="I27" s="9" t="str">
        <f aca="false">IF(ABS(F27-D27*E27)&lt;0.011,"OK","Check")</f>
        <v>OK</v>
      </c>
    </row>
    <row r="28" customFormat="false" ht="19.5" hidden="false" customHeight="true" outlineLevel="0" collapsed="false">
      <c r="A28" s="5" t="s">
        <v>56</v>
      </c>
      <c r="B28" s="6" t="n">
        <v>46111</v>
      </c>
      <c r="C28" s="5" t="s">
        <v>28</v>
      </c>
      <c r="D28" s="7" t="n">
        <v>1</v>
      </c>
      <c r="E28" s="8" t="n">
        <v>54.88</v>
      </c>
      <c r="F28" s="8" t="n">
        <v>54.88</v>
      </c>
      <c r="G28" s="5" t="s">
        <v>26</v>
      </c>
      <c r="H28" s="5" t="s">
        <v>20</v>
      </c>
      <c r="I28" s="9" t="str">
        <f aca="false">IF(ABS(F28-D28*E28)&lt;0.011,"OK","Check")</f>
        <v>OK</v>
      </c>
    </row>
    <row r="29" customFormat="false" ht="19.5" hidden="false" customHeight="true" outlineLevel="0" collapsed="false">
      <c r="A29" s="5" t="s">
        <v>57</v>
      </c>
      <c r="B29" s="6" t="n">
        <v>46201</v>
      </c>
      <c r="C29" s="5" t="s">
        <v>36</v>
      </c>
      <c r="D29" s="7" t="n">
        <v>4</v>
      </c>
      <c r="E29" s="8" t="n">
        <v>161.26</v>
      </c>
      <c r="F29" s="8" t="n">
        <v>645.04</v>
      </c>
      <c r="G29" s="5" t="s">
        <v>23</v>
      </c>
      <c r="H29" s="5" t="s">
        <v>20</v>
      </c>
      <c r="I29" s="9" t="str">
        <f aca="false">IF(ABS(F29-D29*E29)&lt;0.011,"OK","Check")</f>
        <v>OK</v>
      </c>
    </row>
    <row r="30" customFormat="false" ht="19.5" hidden="false" customHeight="true" outlineLevel="0" collapsed="false">
      <c r="A30" s="5" t="s">
        <v>58</v>
      </c>
      <c r="B30" s="6" t="n">
        <v>46163</v>
      </c>
      <c r="C30" s="5" t="s">
        <v>36</v>
      </c>
      <c r="D30" s="7" t="n">
        <v>5</v>
      </c>
      <c r="E30" s="8" t="n">
        <v>214.71</v>
      </c>
      <c r="F30" s="8" t="n">
        <v>1073.55</v>
      </c>
      <c r="G30" s="5" t="s">
        <v>29</v>
      </c>
      <c r="H30" s="5" t="s">
        <v>14</v>
      </c>
      <c r="I30" s="9" t="str">
        <f aca="false">IF(ABS(F30-D30*E30)&lt;0.011,"OK","Check")</f>
        <v>OK</v>
      </c>
    </row>
    <row r="31" customFormat="false" ht="19.5" hidden="false" customHeight="true" outlineLevel="0" collapsed="false">
      <c r="A31" s="5" t="s">
        <v>59</v>
      </c>
      <c r="B31" s="6" t="n">
        <v>46064</v>
      </c>
      <c r="C31" s="5" t="s">
        <v>42</v>
      </c>
      <c r="D31" s="7" t="n">
        <v>5</v>
      </c>
      <c r="E31" s="8" t="n">
        <v>12.96</v>
      </c>
      <c r="F31" s="8" t="n">
        <v>64.8</v>
      </c>
      <c r="G31" s="5" t="s">
        <v>26</v>
      </c>
      <c r="H31" s="5" t="s">
        <v>14</v>
      </c>
      <c r="I31" s="9" t="str">
        <f aca="false">IF(ABS(F31-D31*E31)&lt;0.011,"OK","Check")</f>
        <v>OK</v>
      </c>
    </row>
    <row r="32" customFormat="false" ht="19.5" hidden="false" customHeight="true" outlineLevel="0" collapsed="false">
      <c r="A32" s="5" t="s">
        <v>60</v>
      </c>
      <c r="B32" s="6" t="n">
        <v>46040</v>
      </c>
      <c r="C32" s="5" t="s">
        <v>31</v>
      </c>
      <c r="D32" s="7" t="n">
        <v>5</v>
      </c>
      <c r="E32" s="8" t="n">
        <v>68.38</v>
      </c>
      <c r="F32" s="8" t="n">
        <v>341.9</v>
      </c>
      <c r="G32" s="5" t="s">
        <v>26</v>
      </c>
      <c r="H32" s="5" t="s">
        <v>39</v>
      </c>
      <c r="I32" s="9" t="str">
        <f aca="false">IF(ABS(F32-D32*E32)&lt;0.011,"OK","Check")</f>
        <v>OK</v>
      </c>
    </row>
    <row r="33" customFormat="false" ht="19.5" hidden="false" customHeight="true" outlineLevel="0" collapsed="false">
      <c r="A33" s="5" t="s">
        <v>61</v>
      </c>
      <c r="B33" s="6" t="n">
        <v>46194</v>
      </c>
      <c r="C33" s="5" t="s">
        <v>12</v>
      </c>
      <c r="D33" s="7" t="n">
        <v>4</v>
      </c>
      <c r="E33" s="8" t="n">
        <v>30.61</v>
      </c>
      <c r="F33" s="8" t="n">
        <v>122.44</v>
      </c>
      <c r="G33" s="5" t="s">
        <v>26</v>
      </c>
      <c r="H33" s="5" t="s">
        <v>20</v>
      </c>
      <c r="I33" s="9" t="str">
        <f aca="false">IF(ABS(F33-D33*E33)&lt;0.011,"OK","Check")</f>
        <v>OK</v>
      </c>
    </row>
    <row r="34" customFormat="false" ht="19.5" hidden="false" customHeight="true" outlineLevel="0" collapsed="false">
      <c r="A34" s="5" t="s">
        <v>62</v>
      </c>
      <c r="B34" s="6" t="n">
        <v>46046</v>
      </c>
      <c r="C34" s="5" t="s">
        <v>12</v>
      </c>
      <c r="D34" s="7" t="n">
        <v>8</v>
      </c>
      <c r="E34" s="8" t="n">
        <v>103.99</v>
      </c>
      <c r="F34" s="8" t="n">
        <v>831.92</v>
      </c>
      <c r="G34" s="5" t="s">
        <v>26</v>
      </c>
      <c r="H34" s="5" t="s">
        <v>39</v>
      </c>
      <c r="I34" s="9" t="str">
        <f aca="false">IF(ABS(F34-D34*E34)&lt;0.011,"OK","Check")</f>
        <v>OK</v>
      </c>
    </row>
    <row r="35" customFormat="false" ht="19.5" hidden="false" customHeight="true" outlineLevel="0" collapsed="false">
      <c r="A35" s="5" t="s">
        <v>63</v>
      </c>
      <c r="B35" s="6" t="n">
        <v>46067</v>
      </c>
      <c r="C35" s="5" t="s">
        <v>28</v>
      </c>
      <c r="D35" s="7" t="n">
        <v>1</v>
      </c>
      <c r="E35" s="8" t="n">
        <v>217.69</v>
      </c>
      <c r="F35" s="8" t="n">
        <v>217.69</v>
      </c>
      <c r="G35" s="5" t="s">
        <v>26</v>
      </c>
      <c r="H35" s="5" t="s">
        <v>20</v>
      </c>
      <c r="I35" s="9" t="str">
        <f aca="false">IF(ABS(F35-D35*E35)&lt;0.011,"OK","Check")</f>
        <v>OK</v>
      </c>
    </row>
    <row r="36" customFormat="false" ht="19.5" hidden="false" customHeight="true" outlineLevel="0" collapsed="false">
      <c r="A36" s="5" t="s">
        <v>64</v>
      </c>
      <c r="B36" s="6" t="n">
        <v>46186</v>
      </c>
      <c r="C36" s="5" t="s">
        <v>42</v>
      </c>
      <c r="D36" s="7" t="n">
        <v>4</v>
      </c>
      <c r="E36" s="8" t="n">
        <v>248.32</v>
      </c>
      <c r="F36" s="8" t="n">
        <v>993.28</v>
      </c>
      <c r="G36" s="5" t="s">
        <v>13</v>
      </c>
      <c r="H36" s="5" t="s">
        <v>43</v>
      </c>
      <c r="I36" s="9" t="str">
        <f aca="false">IF(ABS(F36-D36*E36)&lt;0.011,"OK","Check")</f>
        <v>OK</v>
      </c>
    </row>
    <row r="37" customFormat="false" ht="19.5" hidden="false" customHeight="true" outlineLevel="0" collapsed="false">
      <c r="A37" s="5" t="s">
        <v>65</v>
      </c>
      <c r="B37" s="6" t="n">
        <v>46065</v>
      </c>
      <c r="C37" s="5" t="s">
        <v>36</v>
      </c>
      <c r="D37" s="7" t="n">
        <v>7</v>
      </c>
      <c r="E37" s="8" t="n">
        <v>197.63</v>
      </c>
      <c r="F37" s="8" t="n">
        <v>1383.41</v>
      </c>
      <c r="G37" s="5" t="s">
        <v>29</v>
      </c>
      <c r="H37" s="5" t="s">
        <v>24</v>
      </c>
      <c r="I37" s="9" t="str">
        <f aca="false">IF(ABS(F37-D37*E37)&lt;0.011,"OK","Check")</f>
        <v>OK</v>
      </c>
    </row>
    <row r="38" customFormat="false" ht="19.5" hidden="false" customHeight="true" outlineLevel="0" collapsed="false">
      <c r="A38" s="5" t="s">
        <v>66</v>
      </c>
      <c r="B38" s="6" t="n">
        <v>46135</v>
      </c>
      <c r="C38" s="5" t="s">
        <v>67</v>
      </c>
      <c r="D38" s="7" t="n">
        <v>1</v>
      </c>
      <c r="E38" s="8" t="n">
        <v>153.5</v>
      </c>
      <c r="F38" s="8" t="n">
        <v>153.5</v>
      </c>
      <c r="G38" s="5" t="s">
        <v>23</v>
      </c>
      <c r="H38" s="5" t="s">
        <v>14</v>
      </c>
      <c r="I38" s="9" t="str">
        <f aca="false">IF(ABS(F38-D38*E38)&lt;0.011,"OK","Check")</f>
        <v>OK</v>
      </c>
    </row>
    <row r="39" customFormat="false" ht="19.5" hidden="false" customHeight="true" outlineLevel="0" collapsed="false">
      <c r="A39" s="5" t="s">
        <v>68</v>
      </c>
      <c r="B39" s="6" t="n">
        <v>46201</v>
      </c>
      <c r="C39" s="5" t="s">
        <v>22</v>
      </c>
      <c r="D39" s="7" t="n">
        <v>4</v>
      </c>
      <c r="E39" s="8" t="n">
        <v>202.9</v>
      </c>
      <c r="F39" s="8" t="n">
        <v>811.6</v>
      </c>
      <c r="G39" s="5" t="s">
        <v>17</v>
      </c>
      <c r="H39" s="5" t="s">
        <v>24</v>
      </c>
      <c r="I39" s="9" t="str">
        <f aca="false">IF(ABS(F39-D39*E39)&lt;0.011,"OK","Check")</f>
        <v>OK</v>
      </c>
    </row>
    <row r="40" customFormat="false" ht="19.5" hidden="false" customHeight="true" outlineLevel="0" collapsed="false">
      <c r="A40" s="5" t="s">
        <v>69</v>
      </c>
      <c r="B40" s="6" t="n">
        <v>46079</v>
      </c>
      <c r="C40" s="5" t="s">
        <v>42</v>
      </c>
      <c r="D40" s="7" t="n">
        <v>5</v>
      </c>
      <c r="E40" s="8" t="n">
        <v>135.96</v>
      </c>
      <c r="F40" s="8" t="n">
        <v>679.8</v>
      </c>
      <c r="G40" s="5" t="s">
        <v>26</v>
      </c>
      <c r="H40" s="5" t="s">
        <v>43</v>
      </c>
      <c r="I40" s="9" t="str">
        <f aca="false">IF(ABS(F40-D40*E40)&lt;0.011,"OK","Check")</f>
        <v>OK</v>
      </c>
    </row>
    <row r="41" customFormat="false" ht="19.5" hidden="false" customHeight="true" outlineLevel="0" collapsed="false">
      <c r="A41" s="5" t="s">
        <v>70</v>
      </c>
      <c r="B41" s="6" t="n">
        <v>46024</v>
      </c>
      <c r="C41" s="5" t="s">
        <v>31</v>
      </c>
      <c r="D41" s="7" t="n">
        <v>6</v>
      </c>
      <c r="E41" s="8" t="n">
        <v>74.49</v>
      </c>
      <c r="F41" s="8" t="n">
        <v>446.94</v>
      </c>
      <c r="G41" s="5" t="s">
        <v>23</v>
      </c>
      <c r="H41" s="5" t="s">
        <v>43</v>
      </c>
      <c r="I41" s="9" t="str">
        <f aca="false">IF(ABS(F41-D41*E41)&lt;0.011,"OK","Check")</f>
        <v>OK</v>
      </c>
    </row>
    <row r="42" customFormat="false" ht="19.5" hidden="false" customHeight="true" outlineLevel="0" collapsed="false">
      <c r="A42" s="5" t="s">
        <v>71</v>
      </c>
      <c r="B42" s="6" t="n">
        <v>46055</v>
      </c>
      <c r="C42" s="5" t="s">
        <v>42</v>
      </c>
      <c r="D42" s="7" t="n">
        <v>4</v>
      </c>
      <c r="E42" s="8" t="n">
        <v>115.64</v>
      </c>
      <c r="F42" s="8" t="n">
        <v>462.56</v>
      </c>
      <c r="G42" s="5" t="s">
        <v>23</v>
      </c>
      <c r="H42" s="5" t="s">
        <v>20</v>
      </c>
      <c r="I42" s="9" t="str">
        <f aca="false">IF(ABS(F42-D42*E42)&lt;0.011,"OK","Check")</f>
        <v>OK</v>
      </c>
    </row>
    <row r="43" customFormat="false" ht="19.5" hidden="false" customHeight="true" outlineLevel="0" collapsed="false">
      <c r="A43" s="5" t="s">
        <v>72</v>
      </c>
      <c r="B43" s="6" t="n">
        <v>46182</v>
      </c>
      <c r="C43" s="5" t="s">
        <v>36</v>
      </c>
      <c r="D43" s="7" t="n">
        <v>5</v>
      </c>
      <c r="E43" s="8" t="n">
        <v>245.5</v>
      </c>
      <c r="F43" s="8" t="n">
        <v>1227.5</v>
      </c>
      <c r="G43" s="5" t="s">
        <v>26</v>
      </c>
      <c r="H43" s="5" t="s">
        <v>20</v>
      </c>
      <c r="I43" s="9" t="str">
        <f aca="false">IF(ABS(F43-D43*E43)&lt;0.011,"OK","Check")</f>
        <v>OK</v>
      </c>
    </row>
    <row r="44" customFormat="false" ht="19.5" hidden="false" customHeight="true" outlineLevel="0" collapsed="false">
      <c r="A44" s="5" t="s">
        <v>73</v>
      </c>
      <c r="B44" s="6" t="n">
        <v>46142</v>
      </c>
      <c r="C44" s="5" t="s">
        <v>36</v>
      </c>
      <c r="D44" s="7" t="n">
        <v>5</v>
      </c>
      <c r="E44" s="8" t="n">
        <v>161.72</v>
      </c>
      <c r="F44" s="8" t="n">
        <v>808.6</v>
      </c>
      <c r="G44" s="5" t="s">
        <v>26</v>
      </c>
      <c r="H44" s="5" t="s">
        <v>39</v>
      </c>
      <c r="I44" s="9" t="str">
        <f aca="false">IF(ABS(F44-D44*E44)&lt;0.011,"OK","Check")</f>
        <v>OK</v>
      </c>
    </row>
    <row r="45" customFormat="false" ht="19.5" hidden="false" customHeight="true" outlineLevel="0" collapsed="false">
      <c r="A45" s="5" t="s">
        <v>74</v>
      </c>
      <c r="B45" s="6" t="n">
        <v>46079</v>
      </c>
      <c r="C45" s="5" t="s">
        <v>34</v>
      </c>
      <c r="D45" s="7" t="n">
        <v>1</v>
      </c>
      <c r="E45" s="8" t="n">
        <v>213.38</v>
      </c>
      <c r="F45" s="8" t="n">
        <v>213.38</v>
      </c>
      <c r="G45" s="5" t="s">
        <v>23</v>
      </c>
      <c r="H45" s="5" t="s">
        <v>14</v>
      </c>
      <c r="I45" s="9" t="str">
        <f aca="false">IF(ABS(F45-D45*E45)&lt;0.011,"OK","Check")</f>
        <v>OK</v>
      </c>
    </row>
    <row r="46" customFormat="false" ht="19.5" hidden="false" customHeight="true" outlineLevel="0" collapsed="false">
      <c r="A46" s="5" t="s">
        <v>75</v>
      </c>
      <c r="B46" s="6" t="n">
        <v>46151</v>
      </c>
      <c r="C46" s="5" t="s">
        <v>31</v>
      </c>
      <c r="D46" s="7" t="n">
        <v>3</v>
      </c>
      <c r="E46" s="8" t="n">
        <v>221.01</v>
      </c>
      <c r="F46" s="8" t="n">
        <v>663.03</v>
      </c>
      <c r="G46" s="5" t="s">
        <v>26</v>
      </c>
      <c r="H46" s="5" t="s">
        <v>20</v>
      </c>
      <c r="I46" s="9" t="str">
        <f aca="false">IF(ABS(F46-D46*E46)&lt;0.011,"OK","Check")</f>
        <v>OK</v>
      </c>
    </row>
    <row r="47" customFormat="false" ht="19.5" hidden="false" customHeight="true" outlineLevel="0" collapsed="false">
      <c r="A47" s="5" t="s">
        <v>76</v>
      </c>
      <c r="B47" s="6" t="n">
        <v>46165</v>
      </c>
      <c r="C47" s="5" t="s">
        <v>22</v>
      </c>
      <c r="D47" s="7" t="n">
        <v>4</v>
      </c>
      <c r="E47" s="8" t="n">
        <v>158.95</v>
      </c>
      <c r="F47" s="8" t="n">
        <v>635.8</v>
      </c>
      <c r="G47" s="5" t="s">
        <v>13</v>
      </c>
      <c r="H47" s="5" t="s">
        <v>20</v>
      </c>
      <c r="I47" s="9" t="str">
        <f aca="false">IF(ABS(F47-D47*E47)&lt;0.011,"OK","Check")</f>
        <v>OK</v>
      </c>
    </row>
    <row r="48" customFormat="false" ht="19.5" hidden="false" customHeight="true" outlineLevel="0" collapsed="false">
      <c r="A48" s="5" t="s">
        <v>77</v>
      </c>
      <c r="B48" s="6" t="n">
        <v>46054</v>
      </c>
      <c r="C48" s="5" t="s">
        <v>31</v>
      </c>
      <c r="D48" s="7" t="n">
        <v>5</v>
      </c>
      <c r="E48" s="8" t="n">
        <v>37.47</v>
      </c>
      <c r="F48" s="8" t="n">
        <v>187.35</v>
      </c>
      <c r="G48" s="5" t="s">
        <v>29</v>
      </c>
      <c r="H48" s="5" t="s">
        <v>24</v>
      </c>
      <c r="I48" s="9" t="str">
        <f aca="false">IF(ABS(F48-D48*E48)&lt;0.011,"OK","Check")</f>
        <v>OK</v>
      </c>
    </row>
    <row r="49" customFormat="false" ht="19.5" hidden="false" customHeight="true" outlineLevel="0" collapsed="false">
      <c r="A49" s="5" t="s">
        <v>78</v>
      </c>
      <c r="B49" s="6" t="n">
        <v>46114</v>
      </c>
      <c r="C49" s="5" t="s">
        <v>42</v>
      </c>
      <c r="D49" s="7" t="n">
        <v>7</v>
      </c>
      <c r="E49" s="8" t="n">
        <v>124.94</v>
      </c>
      <c r="F49" s="8" t="n">
        <v>874.58</v>
      </c>
      <c r="G49" s="5" t="s">
        <v>17</v>
      </c>
      <c r="H49" s="5" t="s">
        <v>14</v>
      </c>
      <c r="I49" s="9" t="str">
        <f aca="false">IF(ABS(F49-D49*E49)&lt;0.011,"OK","Check")</f>
        <v>OK</v>
      </c>
    </row>
    <row r="50" customFormat="false" ht="19.5" hidden="false" customHeight="true" outlineLevel="0" collapsed="false">
      <c r="A50" s="5" t="s">
        <v>79</v>
      </c>
      <c r="B50" s="6" t="n">
        <v>46153</v>
      </c>
      <c r="C50" s="5" t="s">
        <v>19</v>
      </c>
      <c r="D50" s="7" t="n">
        <v>1</v>
      </c>
      <c r="E50" s="8" t="n">
        <v>80.58</v>
      </c>
      <c r="F50" s="8" t="n">
        <v>80.58</v>
      </c>
      <c r="G50" s="5" t="s">
        <v>29</v>
      </c>
      <c r="H50" s="5" t="s">
        <v>43</v>
      </c>
      <c r="I50" s="9" t="str">
        <f aca="false">IF(ABS(F50-D50*E50)&lt;0.011,"OK","Check")</f>
        <v>OK</v>
      </c>
    </row>
    <row r="51" customFormat="false" ht="19.5" hidden="false" customHeight="true" outlineLevel="0" collapsed="false">
      <c r="A51" s="5" t="s">
        <v>80</v>
      </c>
      <c r="B51" s="6" t="n">
        <v>46052</v>
      </c>
      <c r="C51" s="5" t="s">
        <v>47</v>
      </c>
      <c r="D51" s="7" t="n">
        <v>7</v>
      </c>
      <c r="E51" s="8" t="n">
        <v>143.93</v>
      </c>
      <c r="F51" s="8" t="n">
        <v>1007.51</v>
      </c>
      <c r="G51" s="5" t="s">
        <v>23</v>
      </c>
      <c r="H51" s="5" t="s">
        <v>14</v>
      </c>
      <c r="I51" s="9" t="str">
        <f aca="false">IF(ABS(F51-D51*E51)&lt;0.011,"OK","Check")</f>
        <v>OK</v>
      </c>
    </row>
    <row r="52" customFormat="false" ht="19.5" hidden="false" customHeight="true" outlineLevel="0" collapsed="false">
      <c r="A52" s="5" t="s">
        <v>81</v>
      </c>
      <c r="B52" s="6" t="n">
        <v>46026</v>
      </c>
      <c r="C52" s="5" t="s">
        <v>38</v>
      </c>
      <c r="D52" s="7" t="n">
        <v>1</v>
      </c>
      <c r="E52" s="8" t="n">
        <v>151.12</v>
      </c>
      <c r="F52" s="8" t="n">
        <v>151.12</v>
      </c>
      <c r="G52" s="5" t="s">
        <v>29</v>
      </c>
      <c r="H52" s="5" t="s">
        <v>32</v>
      </c>
      <c r="I52" s="9" t="str">
        <f aca="false">IF(ABS(F52-D52*E52)&lt;0.011,"OK","Check")</f>
        <v>OK</v>
      </c>
    </row>
    <row r="53" customFormat="false" ht="19.5" hidden="false" customHeight="true" outlineLevel="0" collapsed="false">
      <c r="A53" s="5" t="s">
        <v>82</v>
      </c>
      <c r="B53" s="6" t="n">
        <v>46124</v>
      </c>
      <c r="C53" s="5" t="s">
        <v>31</v>
      </c>
      <c r="D53" s="7" t="n">
        <v>4</v>
      </c>
      <c r="E53" s="8" t="n">
        <v>84.27</v>
      </c>
      <c r="F53" s="8" t="n">
        <v>337.08</v>
      </c>
      <c r="G53" s="5" t="s">
        <v>17</v>
      </c>
      <c r="H53" s="5" t="s">
        <v>24</v>
      </c>
      <c r="I53" s="9" t="str">
        <f aca="false">IF(ABS(F53-D53*E53)&lt;0.011,"OK","Check")</f>
        <v>OK</v>
      </c>
    </row>
    <row r="54" customFormat="false" ht="19.5" hidden="false" customHeight="true" outlineLevel="0" collapsed="false">
      <c r="A54" s="5" t="s">
        <v>83</v>
      </c>
      <c r="B54" s="6" t="n">
        <v>46049</v>
      </c>
      <c r="C54" s="5" t="s">
        <v>42</v>
      </c>
      <c r="D54" s="7" t="n">
        <v>1</v>
      </c>
      <c r="E54" s="8" t="n">
        <v>96.96</v>
      </c>
      <c r="F54" s="8" t="n">
        <v>96.96</v>
      </c>
      <c r="G54" s="5" t="s">
        <v>13</v>
      </c>
      <c r="H54" s="5" t="s">
        <v>14</v>
      </c>
      <c r="I54" s="9" t="str">
        <f aca="false">IF(ABS(F54-D54*E54)&lt;0.011,"OK","Check")</f>
        <v>OK</v>
      </c>
    </row>
    <row r="55" customFormat="false" ht="19.5" hidden="false" customHeight="true" outlineLevel="0" collapsed="false">
      <c r="A55" s="5" t="s">
        <v>84</v>
      </c>
      <c r="B55" s="6" t="n">
        <v>46038</v>
      </c>
      <c r="C55" s="5" t="s">
        <v>38</v>
      </c>
      <c r="D55" s="7" t="n">
        <v>7</v>
      </c>
      <c r="E55" s="8" t="n">
        <v>155.39</v>
      </c>
      <c r="F55" s="8" t="n">
        <v>1087.73</v>
      </c>
      <c r="G55" s="5" t="s">
        <v>26</v>
      </c>
      <c r="H55" s="5" t="s">
        <v>24</v>
      </c>
      <c r="I55" s="9" t="str">
        <f aca="false">IF(ABS(F55-D55*E55)&lt;0.011,"OK","Check")</f>
        <v>OK</v>
      </c>
    </row>
    <row r="56" customFormat="false" ht="19.5" hidden="false" customHeight="true" outlineLevel="0" collapsed="false">
      <c r="A56" s="5" t="s">
        <v>85</v>
      </c>
      <c r="B56" s="6" t="n">
        <v>46085</v>
      </c>
      <c r="C56" s="5" t="s">
        <v>12</v>
      </c>
      <c r="D56" s="7" t="n">
        <v>3</v>
      </c>
      <c r="E56" s="8" t="n">
        <v>125.54</v>
      </c>
      <c r="F56" s="8" t="n">
        <v>376.62</v>
      </c>
      <c r="G56" s="5" t="s">
        <v>23</v>
      </c>
      <c r="H56" s="5" t="s">
        <v>14</v>
      </c>
      <c r="I56" s="9" t="str">
        <f aca="false">IF(ABS(F56-D56*E56)&lt;0.011,"OK","Check")</f>
        <v>OK</v>
      </c>
    </row>
    <row r="57" customFormat="false" ht="19.5" hidden="false" customHeight="true" outlineLevel="0" collapsed="false">
      <c r="A57" s="5" t="s">
        <v>86</v>
      </c>
      <c r="B57" s="6" t="n">
        <v>46103</v>
      </c>
      <c r="C57" s="5" t="s">
        <v>38</v>
      </c>
      <c r="D57" s="7" t="n">
        <v>5</v>
      </c>
      <c r="E57" s="8" t="n">
        <v>70.79</v>
      </c>
      <c r="F57" s="8" t="n">
        <v>353.95</v>
      </c>
      <c r="G57" s="5" t="s">
        <v>23</v>
      </c>
      <c r="H57" s="5" t="s">
        <v>32</v>
      </c>
      <c r="I57" s="9" t="str">
        <f aca="false">IF(ABS(F57-D57*E57)&lt;0.011,"OK","Check")</f>
        <v>OK</v>
      </c>
    </row>
    <row r="58" customFormat="false" ht="19.5" hidden="false" customHeight="true" outlineLevel="0" collapsed="false">
      <c r="A58" s="5" t="s">
        <v>87</v>
      </c>
      <c r="B58" s="6" t="n">
        <v>46151</v>
      </c>
      <c r="C58" s="5" t="s">
        <v>34</v>
      </c>
      <c r="D58" s="7" t="n">
        <v>6</v>
      </c>
      <c r="E58" s="8" t="n">
        <v>204.83</v>
      </c>
      <c r="F58" s="8" t="n">
        <v>1228.98</v>
      </c>
      <c r="G58" s="5" t="s">
        <v>26</v>
      </c>
      <c r="H58" s="5" t="s">
        <v>14</v>
      </c>
      <c r="I58" s="9" t="str">
        <f aca="false">IF(ABS(F58-D58*E58)&lt;0.011,"OK","Check")</f>
        <v>OK</v>
      </c>
    </row>
    <row r="59" customFormat="false" ht="19.5" hidden="false" customHeight="true" outlineLevel="0" collapsed="false">
      <c r="A59" s="5" t="s">
        <v>88</v>
      </c>
      <c r="B59" s="6" t="n">
        <v>46196</v>
      </c>
      <c r="C59" s="5" t="s">
        <v>47</v>
      </c>
      <c r="D59" s="7" t="n">
        <v>8</v>
      </c>
      <c r="E59" s="8" t="n">
        <v>190.17</v>
      </c>
      <c r="F59" s="8" t="n">
        <v>1521.36</v>
      </c>
      <c r="G59" s="5" t="s">
        <v>17</v>
      </c>
      <c r="H59" s="5" t="s">
        <v>14</v>
      </c>
      <c r="I59" s="9" t="str">
        <f aca="false">IF(ABS(F59-D59*E59)&lt;0.011,"OK","Check")</f>
        <v>OK</v>
      </c>
    </row>
    <row r="60" customFormat="false" ht="19.5" hidden="false" customHeight="true" outlineLevel="0" collapsed="false">
      <c r="A60" s="5" t="s">
        <v>89</v>
      </c>
      <c r="B60" s="6" t="n">
        <v>46182</v>
      </c>
      <c r="C60" s="5" t="s">
        <v>67</v>
      </c>
      <c r="D60" s="7" t="n">
        <v>7</v>
      </c>
      <c r="E60" s="8" t="n">
        <v>239.78</v>
      </c>
      <c r="F60" s="8" t="n">
        <v>1678.46</v>
      </c>
      <c r="G60" s="5" t="s">
        <v>26</v>
      </c>
      <c r="H60" s="5" t="s">
        <v>14</v>
      </c>
      <c r="I60" s="9" t="str">
        <f aca="false">IF(ABS(F60-D60*E60)&lt;0.011,"OK","Check")</f>
        <v>OK</v>
      </c>
    </row>
    <row r="61" customFormat="false" ht="19.5" hidden="false" customHeight="true" outlineLevel="0" collapsed="false">
      <c r="A61" s="5" t="s">
        <v>90</v>
      </c>
      <c r="B61" s="6" t="n">
        <v>46115</v>
      </c>
      <c r="C61" s="5" t="s">
        <v>42</v>
      </c>
      <c r="D61" s="7" t="n">
        <v>8</v>
      </c>
      <c r="E61" s="8" t="n">
        <v>14</v>
      </c>
      <c r="F61" s="8" t="n">
        <v>112</v>
      </c>
      <c r="G61" s="5" t="s">
        <v>29</v>
      </c>
      <c r="H61" s="5" t="s">
        <v>43</v>
      </c>
      <c r="I61" s="9" t="str">
        <f aca="false">IF(ABS(F61-D61*E61)&lt;0.011,"OK","Check")</f>
        <v>OK</v>
      </c>
    </row>
    <row r="62" customFormat="false" ht="19.5" hidden="false" customHeight="true" outlineLevel="0" collapsed="false">
      <c r="A62" s="5" t="s">
        <v>91</v>
      </c>
      <c r="B62" s="6" t="n">
        <v>46193</v>
      </c>
      <c r="C62" s="5" t="s">
        <v>42</v>
      </c>
      <c r="D62" s="7" t="n">
        <v>2</v>
      </c>
      <c r="E62" s="8" t="n">
        <v>191.22</v>
      </c>
      <c r="F62" s="8" t="n">
        <v>382.44</v>
      </c>
      <c r="G62" s="5" t="s">
        <v>26</v>
      </c>
      <c r="H62" s="5" t="s">
        <v>32</v>
      </c>
      <c r="I62" s="9" t="str">
        <f aca="false">IF(ABS(F62-D62*E62)&lt;0.011,"OK","Check")</f>
        <v>OK</v>
      </c>
    </row>
    <row r="63" customFormat="false" ht="19.5" hidden="false" customHeight="true" outlineLevel="0" collapsed="false">
      <c r="A63" s="5" t="s">
        <v>92</v>
      </c>
      <c r="B63" s="6" t="n">
        <v>46184</v>
      </c>
      <c r="C63" s="5" t="s">
        <v>22</v>
      </c>
      <c r="D63" s="7" t="n">
        <v>2</v>
      </c>
      <c r="E63" s="8" t="n">
        <v>183.47</v>
      </c>
      <c r="F63" s="8" t="n">
        <v>366.94</v>
      </c>
      <c r="G63" s="5" t="s">
        <v>29</v>
      </c>
      <c r="H63" s="5" t="s">
        <v>32</v>
      </c>
      <c r="I63" s="9" t="str">
        <f aca="false">IF(ABS(F63-D63*E63)&lt;0.011,"OK","Check")</f>
        <v>OK</v>
      </c>
    </row>
    <row r="64" customFormat="false" ht="19.5" hidden="false" customHeight="true" outlineLevel="0" collapsed="false">
      <c r="A64" s="5" t="s">
        <v>93</v>
      </c>
      <c r="B64" s="6" t="n">
        <v>46185</v>
      </c>
      <c r="C64" s="5" t="s">
        <v>67</v>
      </c>
      <c r="D64" s="7" t="n">
        <v>2</v>
      </c>
      <c r="E64" s="8" t="n">
        <v>36.29</v>
      </c>
      <c r="F64" s="8" t="n">
        <v>72.58</v>
      </c>
      <c r="G64" s="5" t="s">
        <v>17</v>
      </c>
      <c r="H64" s="5" t="s">
        <v>39</v>
      </c>
      <c r="I64" s="9" t="str">
        <f aca="false">IF(ABS(F64-D64*E64)&lt;0.011,"OK","Check")</f>
        <v>OK</v>
      </c>
    </row>
    <row r="65" customFormat="false" ht="19.5" hidden="false" customHeight="true" outlineLevel="0" collapsed="false">
      <c r="A65" s="5" t="s">
        <v>94</v>
      </c>
      <c r="B65" s="6" t="n">
        <v>46139</v>
      </c>
      <c r="C65" s="5" t="s">
        <v>31</v>
      </c>
      <c r="D65" s="7" t="n">
        <v>7</v>
      </c>
      <c r="E65" s="8" t="n">
        <v>208.15</v>
      </c>
      <c r="F65" s="8" t="n">
        <v>1457.05</v>
      </c>
      <c r="G65" s="5" t="s">
        <v>13</v>
      </c>
      <c r="H65" s="5" t="s">
        <v>32</v>
      </c>
      <c r="I65" s="9" t="str">
        <f aca="false">IF(ABS(F65-D65*E65)&lt;0.011,"OK","Check")</f>
        <v>OK</v>
      </c>
    </row>
    <row r="66" customFormat="false" ht="19.5" hidden="false" customHeight="true" outlineLevel="0" collapsed="false">
      <c r="A66" s="5" t="s">
        <v>95</v>
      </c>
      <c r="B66" s="6" t="n">
        <v>46032</v>
      </c>
      <c r="C66" s="5" t="s">
        <v>36</v>
      </c>
      <c r="D66" s="7" t="n">
        <v>5</v>
      </c>
      <c r="E66" s="8" t="n">
        <v>103.77</v>
      </c>
      <c r="F66" s="8" t="n">
        <v>518.85</v>
      </c>
      <c r="G66" s="5" t="s">
        <v>23</v>
      </c>
      <c r="H66" s="5" t="s">
        <v>20</v>
      </c>
      <c r="I66" s="9" t="str">
        <f aca="false">IF(ABS(F66-D66*E66)&lt;0.011,"OK","Check")</f>
        <v>OK</v>
      </c>
    </row>
    <row r="67" customFormat="false" ht="19.5" hidden="false" customHeight="true" outlineLevel="0" collapsed="false">
      <c r="A67" s="5" t="s">
        <v>96</v>
      </c>
      <c r="B67" s="6" t="n">
        <v>46113</v>
      </c>
      <c r="C67" s="5" t="s">
        <v>31</v>
      </c>
      <c r="D67" s="7" t="n">
        <v>7</v>
      </c>
      <c r="E67" s="8" t="n">
        <v>229.06</v>
      </c>
      <c r="F67" s="8" t="n">
        <v>1603.42</v>
      </c>
      <c r="G67" s="5" t="s">
        <v>23</v>
      </c>
      <c r="H67" s="5" t="s">
        <v>20</v>
      </c>
      <c r="I67" s="9" t="str">
        <f aca="false">IF(ABS(F67-D67*E67)&lt;0.011,"OK","Check")</f>
        <v>OK</v>
      </c>
    </row>
    <row r="68" customFormat="false" ht="19.5" hidden="false" customHeight="true" outlineLevel="0" collapsed="false">
      <c r="A68" s="5" t="s">
        <v>97</v>
      </c>
      <c r="B68" s="6" t="n">
        <v>46183</v>
      </c>
      <c r="C68" s="5" t="s">
        <v>47</v>
      </c>
      <c r="D68" s="7" t="n">
        <v>6</v>
      </c>
      <c r="E68" s="8" t="n">
        <v>132.61</v>
      </c>
      <c r="F68" s="8" t="n">
        <v>795.66</v>
      </c>
      <c r="G68" s="5" t="s">
        <v>17</v>
      </c>
      <c r="H68" s="5" t="s">
        <v>39</v>
      </c>
      <c r="I68" s="9" t="str">
        <f aca="false">IF(ABS(F68-D68*E68)&lt;0.011,"OK","Check")</f>
        <v>OK</v>
      </c>
    </row>
    <row r="69" customFormat="false" ht="19.5" hidden="false" customHeight="true" outlineLevel="0" collapsed="false">
      <c r="A69" s="5" t="s">
        <v>98</v>
      </c>
      <c r="B69" s="6" t="n">
        <v>46196</v>
      </c>
      <c r="C69" s="5" t="s">
        <v>42</v>
      </c>
      <c r="D69" s="7" t="n">
        <v>7</v>
      </c>
      <c r="E69" s="8" t="n">
        <v>213.29</v>
      </c>
      <c r="F69" s="8" t="n">
        <v>1493.03</v>
      </c>
      <c r="G69" s="5" t="s">
        <v>26</v>
      </c>
      <c r="H69" s="5" t="s">
        <v>24</v>
      </c>
      <c r="I69" s="9" t="str">
        <f aca="false">IF(ABS(F69-D69*E69)&lt;0.011,"OK","Check")</f>
        <v>OK</v>
      </c>
    </row>
    <row r="70" customFormat="false" ht="19.5" hidden="false" customHeight="true" outlineLevel="0" collapsed="false">
      <c r="A70" s="5" t="s">
        <v>99</v>
      </c>
      <c r="B70" s="6" t="n">
        <v>46169</v>
      </c>
      <c r="C70" s="5" t="s">
        <v>38</v>
      </c>
      <c r="D70" s="7" t="n">
        <v>4</v>
      </c>
      <c r="E70" s="8" t="n">
        <v>105.37</v>
      </c>
      <c r="F70" s="8" t="n">
        <v>421.48</v>
      </c>
      <c r="G70" s="5" t="s">
        <v>17</v>
      </c>
      <c r="H70" s="5" t="s">
        <v>43</v>
      </c>
      <c r="I70" s="9" t="str">
        <f aca="false">IF(ABS(F70-D70*E70)&lt;0.011,"OK","Check")</f>
        <v>OK</v>
      </c>
    </row>
    <row r="71" customFormat="false" ht="19.5" hidden="false" customHeight="true" outlineLevel="0" collapsed="false">
      <c r="A71" s="5" t="s">
        <v>100</v>
      </c>
      <c r="B71" s="6" t="n">
        <v>46071</v>
      </c>
      <c r="C71" s="5" t="s">
        <v>34</v>
      </c>
      <c r="D71" s="7" t="n">
        <v>1</v>
      </c>
      <c r="E71" s="8" t="n">
        <v>55.16</v>
      </c>
      <c r="F71" s="8" t="n">
        <v>55.16</v>
      </c>
      <c r="G71" s="5" t="s">
        <v>29</v>
      </c>
      <c r="H71" s="5" t="s">
        <v>43</v>
      </c>
      <c r="I71" s="9" t="str">
        <f aca="false">IF(ABS(F71-D71*E71)&lt;0.011,"OK","Check")</f>
        <v>OK</v>
      </c>
    </row>
    <row r="72" customFormat="false" ht="19.5" hidden="false" customHeight="true" outlineLevel="0" collapsed="false">
      <c r="A72" s="5" t="s">
        <v>101</v>
      </c>
      <c r="B72" s="6" t="n">
        <v>46098</v>
      </c>
      <c r="C72" s="5" t="s">
        <v>34</v>
      </c>
      <c r="D72" s="7" t="n">
        <v>8</v>
      </c>
      <c r="E72" s="8" t="n">
        <v>150.91</v>
      </c>
      <c r="F72" s="8" t="n">
        <v>1207.28</v>
      </c>
      <c r="G72" s="5" t="s">
        <v>13</v>
      </c>
      <c r="H72" s="5" t="s">
        <v>39</v>
      </c>
      <c r="I72" s="9" t="str">
        <f aca="false">IF(ABS(F72-D72*E72)&lt;0.011,"OK","Check")</f>
        <v>OK</v>
      </c>
    </row>
    <row r="73" customFormat="false" ht="19.5" hidden="false" customHeight="true" outlineLevel="0" collapsed="false">
      <c r="A73" s="5" t="s">
        <v>102</v>
      </c>
      <c r="B73" s="6" t="n">
        <v>46137</v>
      </c>
      <c r="C73" s="5" t="s">
        <v>47</v>
      </c>
      <c r="D73" s="7" t="n">
        <v>8</v>
      </c>
      <c r="E73" s="8" t="n">
        <v>55.16</v>
      </c>
      <c r="F73" s="8" t="n">
        <v>441.28</v>
      </c>
      <c r="G73" s="5" t="s">
        <v>13</v>
      </c>
      <c r="H73" s="5" t="s">
        <v>20</v>
      </c>
      <c r="I73" s="9" t="str">
        <f aca="false">IF(ABS(F73-D73*E73)&lt;0.011,"OK","Check")</f>
        <v>OK</v>
      </c>
    </row>
    <row r="74" customFormat="false" ht="19.5" hidden="false" customHeight="true" outlineLevel="0" collapsed="false">
      <c r="A74" s="5" t="s">
        <v>103</v>
      </c>
      <c r="B74" s="6" t="n">
        <v>46147</v>
      </c>
      <c r="C74" s="5" t="s">
        <v>36</v>
      </c>
      <c r="D74" s="7" t="n">
        <v>8</v>
      </c>
      <c r="E74" s="8" t="n">
        <v>114.94</v>
      </c>
      <c r="F74" s="8" t="n">
        <v>919.52</v>
      </c>
      <c r="G74" s="5" t="s">
        <v>29</v>
      </c>
      <c r="H74" s="5" t="s">
        <v>32</v>
      </c>
      <c r="I74" s="9" t="str">
        <f aca="false">IF(ABS(F74-D74*E74)&lt;0.011,"OK","Check")</f>
        <v>OK</v>
      </c>
    </row>
    <row r="75" customFormat="false" ht="19.5" hidden="false" customHeight="true" outlineLevel="0" collapsed="false">
      <c r="A75" s="5" t="s">
        <v>104</v>
      </c>
      <c r="B75" s="6" t="n">
        <v>46043</v>
      </c>
      <c r="C75" s="5" t="s">
        <v>47</v>
      </c>
      <c r="D75" s="7" t="n">
        <v>7</v>
      </c>
      <c r="E75" s="8" t="n">
        <v>123.53</v>
      </c>
      <c r="F75" s="8" t="n">
        <v>864.71</v>
      </c>
      <c r="G75" s="5" t="s">
        <v>23</v>
      </c>
      <c r="H75" s="5" t="s">
        <v>39</v>
      </c>
      <c r="I75" s="9" t="str">
        <f aca="false">IF(ABS(F75-D75*E75)&lt;0.011,"OK","Check")</f>
        <v>OK</v>
      </c>
    </row>
    <row r="76" customFormat="false" ht="19.5" hidden="false" customHeight="true" outlineLevel="0" collapsed="false">
      <c r="A76" s="5" t="s">
        <v>105</v>
      </c>
      <c r="B76" s="6" t="n">
        <v>46133</v>
      </c>
      <c r="C76" s="5" t="s">
        <v>12</v>
      </c>
      <c r="D76" s="7" t="n">
        <v>6</v>
      </c>
      <c r="E76" s="8" t="n">
        <v>106.03</v>
      </c>
      <c r="F76" s="8" t="n">
        <v>636.18</v>
      </c>
      <c r="G76" s="5" t="s">
        <v>13</v>
      </c>
      <c r="H76" s="5" t="s">
        <v>32</v>
      </c>
      <c r="I76" s="9" t="str">
        <f aca="false">IF(ABS(F76-D76*E76)&lt;0.011,"OK","Check")</f>
        <v>OK</v>
      </c>
    </row>
    <row r="77" customFormat="false" ht="19.5" hidden="false" customHeight="true" outlineLevel="0" collapsed="false">
      <c r="A77" s="5" t="s">
        <v>106</v>
      </c>
      <c r="B77" s="6" t="n">
        <v>46069</v>
      </c>
      <c r="C77" s="5" t="s">
        <v>42</v>
      </c>
      <c r="D77" s="7" t="n">
        <v>8</v>
      </c>
      <c r="E77" s="8" t="n">
        <v>179.22</v>
      </c>
      <c r="F77" s="8" t="n">
        <v>1433.76</v>
      </c>
      <c r="G77" s="5" t="s">
        <v>26</v>
      </c>
      <c r="H77" s="5" t="s">
        <v>32</v>
      </c>
      <c r="I77" s="9" t="str">
        <f aca="false">IF(ABS(F77-D77*E77)&lt;0.011,"OK","Check")</f>
        <v>OK</v>
      </c>
    </row>
    <row r="78" customFormat="false" ht="19.5" hidden="false" customHeight="true" outlineLevel="0" collapsed="false">
      <c r="A78" s="5" t="s">
        <v>107</v>
      </c>
      <c r="B78" s="6" t="n">
        <v>46133</v>
      </c>
      <c r="C78" s="5" t="s">
        <v>36</v>
      </c>
      <c r="D78" s="7" t="n">
        <v>7</v>
      </c>
      <c r="E78" s="8" t="n">
        <v>162.66</v>
      </c>
      <c r="F78" s="8" t="n">
        <v>1138.62</v>
      </c>
      <c r="G78" s="5" t="s">
        <v>13</v>
      </c>
      <c r="H78" s="5" t="s">
        <v>43</v>
      </c>
      <c r="I78" s="9" t="str">
        <f aca="false">IF(ABS(F78-D78*E78)&lt;0.011,"OK","Check")</f>
        <v>OK</v>
      </c>
    </row>
    <row r="79" customFormat="false" ht="19.5" hidden="false" customHeight="true" outlineLevel="0" collapsed="false">
      <c r="A79" s="5" t="s">
        <v>108</v>
      </c>
      <c r="B79" s="6" t="n">
        <v>46144</v>
      </c>
      <c r="C79" s="5" t="s">
        <v>38</v>
      </c>
      <c r="D79" s="7" t="n">
        <v>5</v>
      </c>
      <c r="E79" s="8" t="n">
        <v>207.98</v>
      </c>
      <c r="F79" s="8" t="n">
        <v>1039.9</v>
      </c>
      <c r="G79" s="5" t="s">
        <v>29</v>
      </c>
      <c r="H79" s="5" t="s">
        <v>14</v>
      </c>
      <c r="I79" s="9" t="str">
        <f aca="false">IF(ABS(F79-D79*E79)&lt;0.011,"OK","Check")</f>
        <v>OK</v>
      </c>
    </row>
    <row r="80" customFormat="false" ht="19.5" hidden="false" customHeight="true" outlineLevel="0" collapsed="false">
      <c r="A80" s="5" t="s">
        <v>109</v>
      </c>
      <c r="B80" s="6" t="n">
        <v>46160</v>
      </c>
      <c r="C80" s="5" t="s">
        <v>67</v>
      </c>
      <c r="D80" s="7" t="n">
        <v>7</v>
      </c>
      <c r="E80" s="8" t="n">
        <v>123.91</v>
      </c>
      <c r="F80" s="8" t="n">
        <v>867.37</v>
      </c>
      <c r="G80" s="5" t="s">
        <v>13</v>
      </c>
      <c r="H80" s="5" t="s">
        <v>14</v>
      </c>
      <c r="I80" s="9" t="str">
        <f aca="false">IF(ABS(F80-D80*E80)&lt;0.011,"OK","Check")</f>
        <v>OK</v>
      </c>
    </row>
    <row r="81" customFormat="false" ht="19.5" hidden="false" customHeight="true" outlineLevel="0" collapsed="false">
      <c r="A81" s="5" t="s">
        <v>110</v>
      </c>
      <c r="B81" s="6" t="n">
        <v>46158</v>
      </c>
      <c r="C81" s="5" t="s">
        <v>22</v>
      </c>
      <c r="D81" s="7" t="n">
        <v>4</v>
      </c>
      <c r="E81" s="8" t="n">
        <v>134.83</v>
      </c>
      <c r="F81" s="8" t="n">
        <v>539.32</v>
      </c>
      <c r="G81" s="5" t="s">
        <v>26</v>
      </c>
      <c r="H81" s="5" t="s">
        <v>32</v>
      </c>
      <c r="I81" s="9" t="str">
        <f aca="false">IF(ABS(F81-D81*E81)&lt;0.011,"OK","Check")</f>
        <v>OK</v>
      </c>
    </row>
    <row r="82" customFormat="false" ht="19.5" hidden="false" customHeight="true" outlineLevel="0" collapsed="false">
      <c r="A82" s="5" t="s">
        <v>111</v>
      </c>
      <c r="B82" s="6" t="n">
        <v>46163</v>
      </c>
      <c r="C82" s="5" t="s">
        <v>34</v>
      </c>
      <c r="D82" s="7" t="n">
        <v>6</v>
      </c>
      <c r="E82" s="8" t="n">
        <v>80.19</v>
      </c>
      <c r="F82" s="8" t="n">
        <v>481.14</v>
      </c>
      <c r="G82" s="5" t="s">
        <v>13</v>
      </c>
      <c r="H82" s="5" t="s">
        <v>24</v>
      </c>
      <c r="I82" s="9" t="str">
        <f aca="false">IF(ABS(F82-D82*E82)&lt;0.011,"OK","Check")</f>
        <v>OK</v>
      </c>
    </row>
    <row r="83" customFormat="false" ht="19.5" hidden="false" customHeight="true" outlineLevel="0" collapsed="false">
      <c r="A83" s="5" t="s">
        <v>112</v>
      </c>
      <c r="B83" s="6" t="n">
        <v>46116</v>
      </c>
      <c r="C83" s="5" t="s">
        <v>19</v>
      </c>
      <c r="D83" s="7" t="n">
        <v>6</v>
      </c>
      <c r="E83" s="8" t="n">
        <v>45.83</v>
      </c>
      <c r="F83" s="8" t="n">
        <v>274.98</v>
      </c>
      <c r="G83" s="5" t="s">
        <v>13</v>
      </c>
      <c r="H83" s="5" t="s">
        <v>24</v>
      </c>
      <c r="I83" s="9" t="str">
        <f aca="false">IF(ABS(F83-D83*E83)&lt;0.011,"OK","Check")</f>
        <v>OK</v>
      </c>
    </row>
    <row r="84" customFormat="false" ht="19.5" hidden="false" customHeight="true" outlineLevel="0" collapsed="false">
      <c r="A84" s="5" t="s">
        <v>113</v>
      </c>
      <c r="B84" s="6" t="n">
        <v>46093</v>
      </c>
      <c r="C84" s="5" t="s">
        <v>31</v>
      </c>
      <c r="D84" s="7" t="n">
        <v>7</v>
      </c>
      <c r="E84" s="8" t="n">
        <v>97.22</v>
      </c>
      <c r="F84" s="8" t="n">
        <v>680.54</v>
      </c>
      <c r="G84" s="5" t="s">
        <v>29</v>
      </c>
      <c r="H84" s="5" t="s">
        <v>43</v>
      </c>
      <c r="I84" s="9" t="str">
        <f aca="false">IF(ABS(F84-D84*E84)&lt;0.011,"OK","Check")</f>
        <v>OK</v>
      </c>
    </row>
    <row r="85" customFormat="false" ht="19.5" hidden="false" customHeight="true" outlineLevel="0" collapsed="false">
      <c r="A85" s="5" t="s">
        <v>114</v>
      </c>
      <c r="B85" s="6" t="n">
        <v>46100</v>
      </c>
      <c r="C85" s="5" t="s">
        <v>38</v>
      </c>
      <c r="D85" s="7" t="n">
        <v>7</v>
      </c>
      <c r="E85" s="8" t="n">
        <v>145.34</v>
      </c>
      <c r="F85" s="8" t="n">
        <v>1017.38</v>
      </c>
      <c r="G85" s="5" t="s">
        <v>17</v>
      </c>
      <c r="H85" s="5" t="s">
        <v>43</v>
      </c>
      <c r="I85" s="9" t="str">
        <f aca="false">IF(ABS(F85-D85*E85)&lt;0.011,"OK","Check")</f>
        <v>OK</v>
      </c>
    </row>
    <row r="86" customFormat="false" ht="19.5" hidden="false" customHeight="true" outlineLevel="0" collapsed="false">
      <c r="A86" s="5" t="s">
        <v>115</v>
      </c>
      <c r="B86" s="6" t="n">
        <v>46045</v>
      </c>
      <c r="C86" s="5" t="s">
        <v>16</v>
      </c>
      <c r="D86" s="7" t="n">
        <v>1</v>
      </c>
      <c r="E86" s="8" t="n">
        <v>78.43</v>
      </c>
      <c r="F86" s="8" t="n">
        <v>78.43</v>
      </c>
      <c r="G86" s="5" t="s">
        <v>23</v>
      </c>
      <c r="H86" s="5" t="s">
        <v>20</v>
      </c>
      <c r="I86" s="9" t="str">
        <f aca="false">IF(ABS(F86-D86*E86)&lt;0.011,"OK","Check")</f>
        <v>OK</v>
      </c>
    </row>
    <row r="87" customFormat="false" ht="19.5" hidden="false" customHeight="true" outlineLevel="0" collapsed="false">
      <c r="A87" s="5" t="s">
        <v>116</v>
      </c>
      <c r="B87" s="6" t="n">
        <v>46075</v>
      </c>
      <c r="C87" s="5" t="s">
        <v>38</v>
      </c>
      <c r="D87" s="7" t="n">
        <v>4</v>
      </c>
      <c r="E87" s="8" t="n">
        <v>24.31</v>
      </c>
      <c r="F87" s="8" t="n">
        <v>97.24</v>
      </c>
      <c r="G87" s="5" t="s">
        <v>17</v>
      </c>
      <c r="H87" s="5" t="s">
        <v>39</v>
      </c>
      <c r="I87" s="9" t="str">
        <f aca="false">IF(ABS(F87-D87*E87)&lt;0.011,"OK","Check")</f>
        <v>OK</v>
      </c>
    </row>
    <row r="88" customFormat="false" ht="19.5" hidden="false" customHeight="true" outlineLevel="0" collapsed="false">
      <c r="A88" s="5" t="s">
        <v>117</v>
      </c>
      <c r="B88" s="6" t="n">
        <v>46173</v>
      </c>
      <c r="C88" s="5" t="s">
        <v>28</v>
      </c>
      <c r="D88" s="7" t="n">
        <v>3</v>
      </c>
      <c r="E88" s="8" t="n">
        <v>110.73</v>
      </c>
      <c r="F88" s="8" t="n">
        <v>332.19</v>
      </c>
      <c r="G88" s="5" t="s">
        <v>29</v>
      </c>
      <c r="H88" s="5" t="s">
        <v>14</v>
      </c>
      <c r="I88" s="9" t="str">
        <f aca="false">IF(ABS(F88-D88*E88)&lt;0.011,"OK","Check")</f>
        <v>OK</v>
      </c>
    </row>
    <row r="89" customFormat="false" ht="19.5" hidden="false" customHeight="true" outlineLevel="0" collapsed="false">
      <c r="A89" s="5" t="s">
        <v>118</v>
      </c>
      <c r="B89" s="6" t="n">
        <v>46102</v>
      </c>
      <c r="C89" s="5" t="s">
        <v>47</v>
      </c>
      <c r="D89" s="7" t="n">
        <v>1</v>
      </c>
      <c r="E89" s="8" t="n">
        <v>211.31</v>
      </c>
      <c r="F89" s="8" t="n">
        <v>211.31</v>
      </c>
      <c r="G89" s="5" t="s">
        <v>26</v>
      </c>
      <c r="H89" s="5" t="s">
        <v>43</v>
      </c>
      <c r="I89" s="9" t="str">
        <f aca="false">IF(ABS(F89-D89*E89)&lt;0.011,"OK","Check")</f>
        <v>OK</v>
      </c>
    </row>
    <row r="90" customFormat="false" ht="19.5" hidden="false" customHeight="true" outlineLevel="0" collapsed="false">
      <c r="A90" s="5" t="s">
        <v>119</v>
      </c>
      <c r="B90" s="6" t="n">
        <v>46025</v>
      </c>
      <c r="C90" s="5" t="s">
        <v>22</v>
      </c>
      <c r="D90" s="7" t="n">
        <v>6</v>
      </c>
      <c r="E90" s="8" t="n">
        <v>129.28</v>
      </c>
      <c r="F90" s="8" t="n">
        <v>775.68</v>
      </c>
      <c r="G90" s="5" t="s">
        <v>17</v>
      </c>
      <c r="H90" s="5" t="s">
        <v>20</v>
      </c>
      <c r="I90" s="9" t="str">
        <f aca="false">IF(ABS(F90-D90*E90)&lt;0.011,"OK","Check")</f>
        <v>OK</v>
      </c>
    </row>
    <row r="91" customFormat="false" ht="19.5" hidden="false" customHeight="true" outlineLevel="0" collapsed="false">
      <c r="A91" s="5" t="s">
        <v>120</v>
      </c>
      <c r="B91" s="6" t="n">
        <v>46154</v>
      </c>
      <c r="C91" s="5" t="s">
        <v>22</v>
      </c>
      <c r="D91" s="7" t="n">
        <v>6</v>
      </c>
      <c r="E91" s="8" t="n">
        <v>119.41</v>
      </c>
      <c r="F91" s="8" t="n">
        <v>716.46</v>
      </c>
      <c r="G91" s="5" t="s">
        <v>23</v>
      </c>
      <c r="H91" s="5" t="s">
        <v>43</v>
      </c>
      <c r="I91" s="9" t="str">
        <f aca="false">IF(ABS(F91-D91*E91)&lt;0.011,"OK","Check")</f>
        <v>OK</v>
      </c>
    </row>
    <row r="92" customFormat="false" ht="19.5" hidden="false" customHeight="true" outlineLevel="0" collapsed="false">
      <c r="A92" s="5" t="s">
        <v>121</v>
      </c>
      <c r="B92" s="6" t="n">
        <v>46088</v>
      </c>
      <c r="C92" s="5" t="s">
        <v>31</v>
      </c>
      <c r="D92" s="7" t="n">
        <v>5</v>
      </c>
      <c r="E92" s="8" t="n">
        <v>247.06</v>
      </c>
      <c r="F92" s="8" t="n">
        <v>1235.3</v>
      </c>
      <c r="G92" s="5" t="s">
        <v>26</v>
      </c>
      <c r="H92" s="5" t="s">
        <v>32</v>
      </c>
      <c r="I92" s="9" t="str">
        <f aca="false">IF(ABS(F92-D92*E92)&lt;0.011,"OK","Check")</f>
        <v>OK</v>
      </c>
    </row>
    <row r="93" customFormat="false" ht="19.5" hidden="false" customHeight="true" outlineLevel="0" collapsed="false">
      <c r="A93" s="5" t="s">
        <v>122</v>
      </c>
      <c r="B93" s="6" t="n">
        <v>46199</v>
      </c>
      <c r="C93" s="5" t="s">
        <v>47</v>
      </c>
      <c r="D93" s="7" t="n">
        <v>8</v>
      </c>
      <c r="E93" s="8" t="n">
        <v>70.14</v>
      </c>
      <c r="F93" s="8" t="n">
        <v>561.12</v>
      </c>
      <c r="G93" s="5" t="s">
        <v>17</v>
      </c>
      <c r="H93" s="5" t="s">
        <v>20</v>
      </c>
      <c r="I93" s="9" t="str">
        <f aca="false">IF(ABS(F93-D93*E93)&lt;0.011,"OK","Check")</f>
        <v>OK</v>
      </c>
    </row>
    <row r="94" customFormat="false" ht="19.5" hidden="false" customHeight="true" outlineLevel="0" collapsed="false">
      <c r="A94" s="5" t="s">
        <v>123</v>
      </c>
      <c r="B94" s="6" t="n">
        <v>46058</v>
      </c>
      <c r="C94" s="5" t="s">
        <v>36</v>
      </c>
      <c r="D94" s="7" t="n">
        <v>8</v>
      </c>
      <c r="E94" s="8" t="n">
        <v>190.32</v>
      </c>
      <c r="F94" s="8" t="n">
        <v>1522.56</v>
      </c>
      <c r="G94" s="5" t="s">
        <v>29</v>
      </c>
      <c r="H94" s="5" t="s">
        <v>32</v>
      </c>
      <c r="I94" s="9" t="str">
        <f aca="false">IF(ABS(F94-D94*E94)&lt;0.011,"OK","Check")</f>
        <v>OK</v>
      </c>
    </row>
    <row r="95" customFormat="false" ht="19.5" hidden="false" customHeight="true" outlineLevel="0" collapsed="false">
      <c r="A95" s="5" t="s">
        <v>124</v>
      </c>
      <c r="B95" s="6" t="n">
        <v>46138</v>
      </c>
      <c r="C95" s="5" t="s">
        <v>36</v>
      </c>
      <c r="D95" s="7" t="n">
        <v>2</v>
      </c>
      <c r="E95" s="8" t="n">
        <v>47.23</v>
      </c>
      <c r="F95" s="8" t="n">
        <v>94.46</v>
      </c>
      <c r="G95" s="5" t="s">
        <v>26</v>
      </c>
      <c r="H95" s="5" t="s">
        <v>14</v>
      </c>
      <c r="I95" s="9" t="str">
        <f aca="false">IF(ABS(F95-D95*E95)&lt;0.011,"OK","Check")</f>
        <v>OK</v>
      </c>
    </row>
    <row r="96" customFormat="false" ht="19.5" hidden="false" customHeight="true" outlineLevel="0" collapsed="false">
      <c r="A96" s="5" t="s">
        <v>125</v>
      </c>
      <c r="B96" s="6" t="n">
        <v>46142</v>
      </c>
      <c r="C96" s="5" t="s">
        <v>42</v>
      </c>
      <c r="D96" s="7" t="n">
        <v>2</v>
      </c>
      <c r="E96" s="8" t="n">
        <v>129.16</v>
      </c>
      <c r="F96" s="8" t="n">
        <v>258.32</v>
      </c>
      <c r="G96" s="5" t="s">
        <v>23</v>
      </c>
      <c r="H96" s="5" t="s">
        <v>14</v>
      </c>
      <c r="I96" s="9" t="str">
        <f aca="false">IF(ABS(F96-D96*E96)&lt;0.011,"OK","Check")</f>
        <v>OK</v>
      </c>
    </row>
    <row r="97" customFormat="false" ht="19.5" hidden="false" customHeight="true" outlineLevel="0" collapsed="false">
      <c r="A97" s="5" t="s">
        <v>126</v>
      </c>
      <c r="B97" s="6" t="n">
        <v>46105</v>
      </c>
      <c r="C97" s="5" t="s">
        <v>42</v>
      </c>
      <c r="D97" s="7" t="n">
        <v>4</v>
      </c>
      <c r="E97" s="8" t="n">
        <v>204.21</v>
      </c>
      <c r="F97" s="8" t="n">
        <v>816.84</v>
      </c>
      <c r="G97" s="5" t="s">
        <v>13</v>
      </c>
      <c r="H97" s="5" t="s">
        <v>39</v>
      </c>
      <c r="I97" s="9" t="str">
        <f aca="false">IF(ABS(F97-D97*E97)&lt;0.011,"OK","Check")</f>
        <v>OK</v>
      </c>
    </row>
    <row r="98" customFormat="false" ht="19.5" hidden="false" customHeight="true" outlineLevel="0" collapsed="false">
      <c r="A98" s="5" t="s">
        <v>127</v>
      </c>
      <c r="B98" s="6" t="n">
        <v>46096</v>
      </c>
      <c r="C98" s="5" t="s">
        <v>34</v>
      </c>
      <c r="D98" s="7" t="n">
        <v>7</v>
      </c>
      <c r="E98" s="8" t="n">
        <v>101.14</v>
      </c>
      <c r="F98" s="8" t="n">
        <v>707.98</v>
      </c>
      <c r="G98" s="5" t="s">
        <v>26</v>
      </c>
      <c r="H98" s="5" t="s">
        <v>20</v>
      </c>
      <c r="I98" s="9" t="str">
        <f aca="false">IF(ABS(F98-D98*E98)&lt;0.011,"OK","Check")</f>
        <v>OK</v>
      </c>
    </row>
    <row r="99" customFormat="false" ht="19.5" hidden="false" customHeight="true" outlineLevel="0" collapsed="false">
      <c r="A99" s="5" t="s">
        <v>128</v>
      </c>
      <c r="B99" s="6" t="n">
        <v>46185</v>
      </c>
      <c r="C99" s="5" t="s">
        <v>22</v>
      </c>
      <c r="D99" s="7" t="n">
        <v>4</v>
      </c>
      <c r="E99" s="8" t="n">
        <v>87.02</v>
      </c>
      <c r="F99" s="8" t="n">
        <v>348.08</v>
      </c>
      <c r="G99" s="5" t="s">
        <v>29</v>
      </c>
      <c r="H99" s="5" t="s">
        <v>32</v>
      </c>
      <c r="I99" s="9" t="str">
        <f aca="false">IF(ABS(F99-D99*E99)&lt;0.011,"OK","Check")</f>
        <v>OK</v>
      </c>
    </row>
    <row r="100" customFormat="false" ht="19.5" hidden="false" customHeight="true" outlineLevel="0" collapsed="false">
      <c r="A100" s="5" t="s">
        <v>129</v>
      </c>
      <c r="B100" s="6" t="n">
        <v>46036</v>
      </c>
      <c r="C100" s="5" t="s">
        <v>16</v>
      </c>
      <c r="D100" s="7" t="n">
        <v>3</v>
      </c>
      <c r="E100" s="8" t="n">
        <v>95.05</v>
      </c>
      <c r="F100" s="8" t="n">
        <v>285.15</v>
      </c>
      <c r="G100" s="5" t="s">
        <v>13</v>
      </c>
      <c r="H100" s="5" t="s">
        <v>24</v>
      </c>
      <c r="I100" s="9" t="str">
        <f aca="false">IF(ABS(F100-D100*E100)&lt;0.011,"OK","Check")</f>
        <v>OK</v>
      </c>
    </row>
    <row r="101" customFormat="false" ht="19.5" hidden="false" customHeight="true" outlineLevel="0" collapsed="false">
      <c r="A101" s="5" t="s">
        <v>130</v>
      </c>
      <c r="B101" s="6" t="n">
        <v>46028</v>
      </c>
      <c r="C101" s="5" t="s">
        <v>22</v>
      </c>
      <c r="D101" s="7" t="n">
        <v>2</v>
      </c>
      <c r="E101" s="8" t="n">
        <v>157.18</v>
      </c>
      <c r="F101" s="8" t="n">
        <v>314.36</v>
      </c>
      <c r="G101" s="5" t="s">
        <v>23</v>
      </c>
      <c r="H101" s="5" t="s">
        <v>14</v>
      </c>
      <c r="I101" s="9" t="str">
        <f aca="false">IF(ABS(F101-D101*E101)&lt;0.011,"OK","Check")</f>
        <v>OK</v>
      </c>
    </row>
    <row r="102" customFormat="false" ht="19.5" hidden="false" customHeight="true" outlineLevel="0" collapsed="false">
      <c r="A102" s="5" t="s">
        <v>131</v>
      </c>
      <c r="B102" s="6" t="n">
        <v>46184</v>
      </c>
      <c r="C102" s="5" t="s">
        <v>12</v>
      </c>
      <c r="D102" s="7" t="n">
        <v>7</v>
      </c>
      <c r="E102" s="8" t="n">
        <v>200.15</v>
      </c>
      <c r="F102" s="8" t="n">
        <v>1401.05</v>
      </c>
      <c r="G102" s="5" t="s">
        <v>17</v>
      </c>
      <c r="H102" s="5" t="s">
        <v>24</v>
      </c>
      <c r="I102" s="9" t="str">
        <f aca="false">IF(ABS(F102-D102*E102)&lt;0.011,"OK","Check")</f>
        <v>OK</v>
      </c>
    </row>
    <row r="103" customFormat="false" ht="19.5" hidden="false" customHeight="true" outlineLevel="0" collapsed="false">
      <c r="A103" s="5" t="s">
        <v>132</v>
      </c>
      <c r="B103" s="6" t="n">
        <v>46121</v>
      </c>
      <c r="C103" s="5" t="s">
        <v>47</v>
      </c>
      <c r="D103" s="7" t="n">
        <v>8</v>
      </c>
      <c r="E103" s="8" t="n">
        <v>211.02</v>
      </c>
      <c r="F103" s="8" t="n">
        <v>1688.16</v>
      </c>
      <c r="G103" s="5" t="s">
        <v>17</v>
      </c>
      <c r="H103" s="5" t="s">
        <v>39</v>
      </c>
      <c r="I103" s="9" t="str">
        <f aca="false">IF(ABS(F103-D103*E103)&lt;0.011,"OK","Check")</f>
        <v>OK</v>
      </c>
    </row>
    <row r="104" customFormat="false" ht="19.5" hidden="false" customHeight="true" outlineLevel="0" collapsed="false">
      <c r="A104" s="5" t="s">
        <v>133</v>
      </c>
      <c r="B104" s="6" t="n">
        <v>46170</v>
      </c>
      <c r="C104" s="5" t="s">
        <v>28</v>
      </c>
      <c r="D104" s="7" t="n">
        <v>6</v>
      </c>
      <c r="E104" s="8" t="n">
        <v>95.39</v>
      </c>
      <c r="F104" s="8" t="n">
        <v>572.34</v>
      </c>
      <c r="G104" s="5" t="s">
        <v>13</v>
      </c>
      <c r="H104" s="5" t="s">
        <v>24</v>
      </c>
      <c r="I104" s="9" t="str">
        <f aca="false">IF(ABS(F104-D104*E104)&lt;0.011,"OK","Check")</f>
        <v>OK</v>
      </c>
    </row>
    <row r="105" customFormat="false" ht="19.5" hidden="false" customHeight="true" outlineLevel="0" collapsed="false">
      <c r="A105" s="5" t="s">
        <v>134</v>
      </c>
      <c r="B105" s="6" t="n">
        <v>46120</v>
      </c>
      <c r="C105" s="5" t="s">
        <v>67</v>
      </c>
      <c r="D105" s="7" t="n">
        <v>3</v>
      </c>
      <c r="E105" s="8" t="n">
        <v>174.42</v>
      </c>
      <c r="F105" s="8" t="n">
        <v>523.26</v>
      </c>
      <c r="G105" s="5" t="s">
        <v>23</v>
      </c>
      <c r="H105" s="5" t="s">
        <v>39</v>
      </c>
      <c r="I105" s="9" t="str">
        <f aca="false">IF(ABS(F105-D105*E105)&lt;0.011,"OK","Check")</f>
        <v>OK</v>
      </c>
    </row>
    <row r="106" customFormat="false" ht="19.5" hidden="false" customHeight="true" outlineLevel="0" collapsed="false">
      <c r="A106" s="5" t="s">
        <v>135</v>
      </c>
      <c r="B106" s="6" t="n">
        <v>46151</v>
      </c>
      <c r="C106" s="5" t="s">
        <v>31</v>
      </c>
      <c r="D106" s="7" t="n">
        <v>3</v>
      </c>
      <c r="E106" s="8" t="n">
        <v>20.42</v>
      </c>
      <c r="F106" s="8" t="n">
        <v>61.26</v>
      </c>
      <c r="G106" s="5" t="s">
        <v>13</v>
      </c>
      <c r="H106" s="5" t="s">
        <v>39</v>
      </c>
      <c r="I106" s="9" t="str">
        <f aca="false">IF(ABS(F106-D106*E106)&lt;0.011,"OK","Check")</f>
        <v>OK</v>
      </c>
    </row>
    <row r="107" customFormat="false" ht="19.5" hidden="false" customHeight="true" outlineLevel="0" collapsed="false">
      <c r="A107" s="5" t="s">
        <v>136</v>
      </c>
      <c r="B107" s="6" t="n">
        <v>46114</v>
      </c>
      <c r="C107" s="5" t="s">
        <v>34</v>
      </c>
      <c r="D107" s="7" t="n">
        <v>2</v>
      </c>
      <c r="E107" s="8" t="n">
        <v>147.5</v>
      </c>
      <c r="F107" s="8" t="n">
        <v>295</v>
      </c>
      <c r="G107" s="5" t="s">
        <v>13</v>
      </c>
      <c r="H107" s="5" t="s">
        <v>43</v>
      </c>
      <c r="I107" s="9" t="str">
        <f aca="false">IF(ABS(F107-D107*E107)&lt;0.011,"OK","Check")</f>
        <v>OK</v>
      </c>
    </row>
    <row r="108" customFormat="false" ht="19.5" hidden="false" customHeight="true" outlineLevel="0" collapsed="false">
      <c r="A108" s="5" t="s">
        <v>137</v>
      </c>
      <c r="B108" s="6" t="n">
        <v>46070</v>
      </c>
      <c r="C108" s="5" t="s">
        <v>67</v>
      </c>
      <c r="D108" s="7" t="n">
        <v>5</v>
      </c>
      <c r="E108" s="8" t="n">
        <v>145.81</v>
      </c>
      <c r="F108" s="8" t="n">
        <v>729.05</v>
      </c>
      <c r="G108" s="5" t="s">
        <v>13</v>
      </c>
      <c r="H108" s="5" t="s">
        <v>43</v>
      </c>
      <c r="I108" s="9" t="str">
        <f aca="false">IF(ABS(F108-D108*E108)&lt;0.011,"OK","Check")</f>
        <v>OK</v>
      </c>
    </row>
    <row r="109" customFormat="false" ht="19.5" hidden="false" customHeight="true" outlineLevel="0" collapsed="false">
      <c r="A109" s="5" t="s">
        <v>138</v>
      </c>
      <c r="B109" s="6" t="n">
        <v>46058</v>
      </c>
      <c r="C109" s="5" t="s">
        <v>36</v>
      </c>
      <c r="D109" s="7" t="n">
        <v>8</v>
      </c>
      <c r="E109" s="8" t="n">
        <v>199.7</v>
      </c>
      <c r="F109" s="8" t="n">
        <v>1597.6</v>
      </c>
      <c r="G109" s="5" t="s">
        <v>17</v>
      </c>
      <c r="H109" s="5" t="s">
        <v>20</v>
      </c>
      <c r="I109" s="9" t="str">
        <f aca="false">IF(ABS(F109-D109*E109)&lt;0.011,"OK","Check")</f>
        <v>OK</v>
      </c>
    </row>
    <row r="110" customFormat="false" ht="19.5" hidden="false" customHeight="true" outlineLevel="0" collapsed="false">
      <c r="A110" s="5" t="s">
        <v>139</v>
      </c>
      <c r="B110" s="6" t="n">
        <v>46197</v>
      </c>
      <c r="C110" s="5" t="s">
        <v>12</v>
      </c>
      <c r="D110" s="7" t="n">
        <v>1</v>
      </c>
      <c r="E110" s="8" t="n">
        <v>136.09</v>
      </c>
      <c r="F110" s="8" t="n">
        <v>136.09</v>
      </c>
      <c r="G110" s="5" t="s">
        <v>13</v>
      </c>
      <c r="H110" s="5" t="s">
        <v>20</v>
      </c>
      <c r="I110" s="9" t="str">
        <f aca="false">IF(ABS(F110-D110*E110)&lt;0.011,"OK","Check")</f>
        <v>OK</v>
      </c>
    </row>
    <row r="111" customFormat="false" ht="19.5" hidden="false" customHeight="true" outlineLevel="0" collapsed="false">
      <c r="A111" s="5" t="s">
        <v>140</v>
      </c>
      <c r="B111" s="6" t="n">
        <v>46198</v>
      </c>
      <c r="C111" s="5" t="s">
        <v>36</v>
      </c>
      <c r="D111" s="7" t="n">
        <v>5</v>
      </c>
      <c r="E111" s="8" t="n">
        <v>199.37</v>
      </c>
      <c r="F111" s="8" t="n">
        <v>996.85</v>
      </c>
      <c r="G111" s="5" t="s">
        <v>29</v>
      </c>
      <c r="H111" s="5" t="s">
        <v>20</v>
      </c>
      <c r="I111" s="9" t="str">
        <f aca="false">IF(ABS(F111-D111*E111)&lt;0.011,"OK","Check")</f>
        <v>OK</v>
      </c>
    </row>
    <row r="112" customFormat="false" ht="19.5" hidden="false" customHeight="true" outlineLevel="0" collapsed="false">
      <c r="A112" s="5" t="s">
        <v>141</v>
      </c>
      <c r="B112" s="6" t="n">
        <v>46112</v>
      </c>
      <c r="C112" s="5" t="s">
        <v>38</v>
      </c>
      <c r="D112" s="7" t="n">
        <v>5</v>
      </c>
      <c r="E112" s="8" t="n">
        <v>21.33</v>
      </c>
      <c r="F112" s="8" t="n">
        <v>106.65</v>
      </c>
      <c r="G112" s="5" t="s">
        <v>29</v>
      </c>
      <c r="H112" s="5" t="s">
        <v>14</v>
      </c>
      <c r="I112" s="9" t="str">
        <f aca="false">IF(ABS(F112-D112*E112)&lt;0.011,"OK","Check")</f>
        <v>OK</v>
      </c>
    </row>
    <row r="113" customFormat="false" ht="19.5" hidden="false" customHeight="true" outlineLevel="0" collapsed="false">
      <c r="A113" s="5" t="s">
        <v>142</v>
      </c>
      <c r="B113" s="6" t="n">
        <v>46123</v>
      </c>
      <c r="C113" s="5" t="s">
        <v>12</v>
      </c>
      <c r="D113" s="7" t="n">
        <v>5</v>
      </c>
      <c r="E113" s="8" t="n">
        <v>92.38</v>
      </c>
      <c r="F113" s="8" t="n">
        <v>461.9</v>
      </c>
      <c r="G113" s="5" t="s">
        <v>17</v>
      </c>
      <c r="H113" s="5" t="s">
        <v>39</v>
      </c>
      <c r="I113" s="9" t="str">
        <f aca="false">IF(ABS(F113-D113*E113)&lt;0.011,"OK","Check")</f>
        <v>OK</v>
      </c>
    </row>
    <row r="114" customFormat="false" ht="19.5" hidden="false" customHeight="true" outlineLevel="0" collapsed="false">
      <c r="A114" s="5" t="s">
        <v>143</v>
      </c>
      <c r="B114" s="6" t="n">
        <v>46066</v>
      </c>
      <c r="C114" s="5" t="s">
        <v>12</v>
      </c>
      <c r="D114" s="7" t="n">
        <v>2</v>
      </c>
      <c r="E114" s="8" t="n">
        <v>82.19</v>
      </c>
      <c r="F114" s="8" t="n">
        <v>164.38</v>
      </c>
      <c r="G114" s="5" t="s">
        <v>13</v>
      </c>
      <c r="H114" s="5" t="s">
        <v>43</v>
      </c>
      <c r="I114" s="9" t="str">
        <f aca="false">IF(ABS(F114-D114*E114)&lt;0.011,"OK","Check")</f>
        <v>OK</v>
      </c>
    </row>
    <row r="115" customFormat="false" ht="19.5" hidden="false" customHeight="true" outlineLevel="0" collapsed="false">
      <c r="A115" s="5" t="s">
        <v>144</v>
      </c>
      <c r="B115" s="6" t="n">
        <v>46200</v>
      </c>
      <c r="C115" s="5" t="s">
        <v>22</v>
      </c>
      <c r="D115" s="7" t="n">
        <v>5</v>
      </c>
      <c r="E115" s="8" t="n">
        <v>164.71</v>
      </c>
      <c r="F115" s="8" t="n">
        <v>823.55</v>
      </c>
      <c r="G115" s="5" t="s">
        <v>17</v>
      </c>
      <c r="H115" s="5" t="s">
        <v>43</v>
      </c>
      <c r="I115" s="9" t="str">
        <f aca="false">IF(ABS(F115-D115*E115)&lt;0.011,"OK","Check")</f>
        <v>OK</v>
      </c>
    </row>
    <row r="116" customFormat="false" ht="19.5" hidden="false" customHeight="true" outlineLevel="0" collapsed="false">
      <c r="A116" s="5" t="s">
        <v>145</v>
      </c>
      <c r="B116" s="6" t="n">
        <v>46066</v>
      </c>
      <c r="C116" s="5" t="s">
        <v>22</v>
      </c>
      <c r="D116" s="7" t="n">
        <v>3</v>
      </c>
      <c r="E116" s="8" t="n">
        <v>16.97</v>
      </c>
      <c r="F116" s="8" t="n">
        <v>50.91</v>
      </c>
      <c r="G116" s="5" t="s">
        <v>26</v>
      </c>
      <c r="H116" s="5" t="s">
        <v>14</v>
      </c>
      <c r="I116" s="9" t="str">
        <f aca="false">IF(ABS(F116-D116*E116)&lt;0.011,"OK","Check")</f>
        <v>OK</v>
      </c>
    </row>
    <row r="117" customFormat="false" ht="19.5" hidden="false" customHeight="true" outlineLevel="0" collapsed="false">
      <c r="A117" s="5" t="s">
        <v>146</v>
      </c>
      <c r="B117" s="6" t="n">
        <v>46110</v>
      </c>
      <c r="C117" s="5" t="s">
        <v>31</v>
      </c>
      <c r="D117" s="7" t="n">
        <v>5</v>
      </c>
      <c r="E117" s="8" t="n">
        <v>116.14</v>
      </c>
      <c r="F117" s="8" t="n">
        <v>580.7</v>
      </c>
      <c r="G117" s="5" t="s">
        <v>26</v>
      </c>
      <c r="H117" s="5" t="s">
        <v>32</v>
      </c>
      <c r="I117" s="9" t="str">
        <f aca="false">IF(ABS(F117-D117*E117)&lt;0.011,"OK","Check")</f>
        <v>OK</v>
      </c>
    </row>
    <row r="118" customFormat="false" ht="19.5" hidden="false" customHeight="true" outlineLevel="0" collapsed="false">
      <c r="A118" s="5" t="s">
        <v>147</v>
      </c>
      <c r="B118" s="6" t="n">
        <v>46070</v>
      </c>
      <c r="C118" s="5" t="s">
        <v>42</v>
      </c>
      <c r="D118" s="7" t="n">
        <v>8</v>
      </c>
      <c r="E118" s="8" t="n">
        <v>101.26</v>
      </c>
      <c r="F118" s="8" t="n">
        <v>810.08</v>
      </c>
      <c r="G118" s="5" t="s">
        <v>29</v>
      </c>
      <c r="H118" s="5" t="s">
        <v>39</v>
      </c>
      <c r="I118" s="9" t="str">
        <f aca="false">IF(ABS(F118-D118*E118)&lt;0.011,"OK","Check")</f>
        <v>OK</v>
      </c>
    </row>
    <row r="119" customFormat="false" ht="19.5" hidden="false" customHeight="true" outlineLevel="0" collapsed="false">
      <c r="A119" s="5" t="s">
        <v>148</v>
      </c>
      <c r="B119" s="6" t="n">
        <v>46106</v>
      </c>
      <c r="C119" s="5" t="s">
        <v>31</v>
      </c>
      <c r="D119" s="7" t="n">
        <v>3</v>
      </c>
      <c r="E119" s="8" t="n">
        <v>106.98</v>
      </c>
      <c r="F119" s="8" t="n">
        <v>320.94</v>
      </c>
      <c r="G119" s="5" t="s">
        <v>13</v>
      </c>
      <c r="H119" s="5" t="s">
        <v>14</v>
      </c>
      <c r="I119" s="9" t="str">
        <f aca="false">IF(ABS(F119-D119*E119)&lt;0.011,"OK","Check")</f>
        <v>OK</v>
      </c>
    </row>
    <row r="120" customFormat="false" ht="19.5" hidden="false" customHeight="true" outlineLevel="0" collapsed="false">
      <c r="A120" s="5" t="s">
        <v>149</v>
      </c>
      <c r="B120" s="6" t="n">
        <v>46180</v>
      </c>
      <c r="C120" s="5" t="s">
        <v>28</v>
      </c>
      <c r="D120" s="7" t="n">
        <v>6</v>
      </c>
      <c r="E120" s="8" t="n">
        <v>217.82</v>
      </c>
      <c r="F120" s="8" t="n">
        <v>1306.92</v>
      </c>
      <c r="G120" s="5" t="s">
        <v>13</v>
      </c>
      <c r="H120" s="5" t="s">
        <v>43</v>
      </c>
      <c r="I120" s="9" t="str">
        <f aca="false">IF(ABS(F120-D120*E120)&lt;0.011,"OK","Check")</f>
        <v>OK</v>
      </c>
    </row>
    <row r="121" customFormat="false" ht="19.5" hidden="false" customHeight="true" outlineLevel="0" collapsed="false">
      <c r="A121" s="5" t="s">
        <v>150</v>
      </c>
      <c r="B121" s="6" t="n">
        <v>46115</v>
      </c>
      <c r="C121" s="5" t="s">
        <v>16</v>
      </c>
      <c r="D121" s="7" t="n">
        <v>4</v>
      </c>
      <c r="E121" s="8" t="n">
        <v>82.75</v>
      </c>
      <c r="F121" s="8" t="n">
        <v>331</v>
      </c>
      <c r="G121" s="5" t="s">
        <v>29</v>
      </c>
      <c r="H121" s="5" t="s">
        <v>24</v>
      </c>
      <c r="I121" s="9" t="str">
        <f aca="false">IF(ABS(F121-D121*E121)&lt;0.011,"OK","Check")</f>
        <v>OK</v>
      </c>
    </row>
    <row r="122" customFormat="false" ht="19.5" hidden="false" customHeight="true" outlineLevel="0" collapsed="false">
      <c r="A122" s="5" t="s">
        <v>151</v>
      </c>
      <c r="B122" s="6" t="n">
        <v>46201</v>
      </c>
      <c r="C122" s="5" t="s">
        <v>19</v>
      </c>
      <c r="D122" s="7" t="n">
        <v>2</v>
      </c>
      <c r="E122" s="8" t="n">
        <v>63.53</v>
      </c>
      <c r="F122" s="8" t="n">
        <v>127.06</v>
      </c>
      <c r="G122" s="5" t="s">
        <v>13</v>
      </c>
      <c r="H122" s="5" t="s">
        <v>39</v>
      </c>
      <c r="I122" s="9" t="str">
        <f aca="false">IF(ABS(F122-D122*E122)&lt;0.011,"OK","Check")</f>
        <v>OK</v>
      </c>
    </row>
    <row r="123" customFormat="false" ht="19.5" hidden="false" customHeight="true" outlineLevel="0" collapsed="false">
      <c r="A123" s="5" t="s">
        <v>152</v>
      </c>
      <c r="B123" s="6" t="n">
        <v>46153</v>
      </c>
      <c r="C123" s="5" t="s">
        <v>31</v>
      </c>
      <c r="D123" s="7" t="n">
        <v>5</v>
      </c>
      <c r="E123" s="8" t="n">
        <v>133.98</v>
      </c>
      <c r="F123" s="8" t="n">
        <v>669.9</v>
      </c>
      <c r="G123" s="5" t="s">
        <v>23</v>
      </c>
      <c r="H123" s="5" t="s">
        <v>20</v>
      </c>
      <c r="I123" s="9" t="str">
        <f aca="false">IF(ABS(F123-D123*E123)&lt;0.011,"OK","Check")</f>
        <v>OK</v>
      </c>
    </row>
    <row r="124" customFormat="false" ht="19.5" hidden="false" customHeight="true" outlineLevel="0" collapsed="false">
      <c r="A124" s="5" t="s">
        <v>153</v>
      </c>
      <c r="B124" s="6" t="n">
        <v>46150</v>
      </c>
      <c r="C124" s="5" t="s">
        <v>47</v>
      </c>
      <c r="D124" s="7" t="n">
        <v>2</v>
      </c>
      <c r="E124" s="8" t="n">
        <v>40.29</v>
      </c>
      <c r="F124" s="8" t="n">
        <v>80.58</v>
      </c>
      <c r="G124" s="5" t="s">
        <v>26</v>
      </c>
      <c r="H124" s="5" t="s">
        <v>43</v>
      </c>
      <c r="I124" s="9" t="str">
        <f aca="false">IF(ABS(F124-D124*E124)&lt;0.011,"OK","Check")</f>
        <v>OK</v>
      </c>
    </row>
    <row r="125" customFormat="false" ht="19.5" hidden="false" customHeight="true" outlineLevel="0" collapsed="false">
      <c r="A125" s="5" t="s">
        <v>154</v>
      </c>
      <c r="B125" s="6" t="n">
        <v>46105</v>
      </c>
      <c r="C125" s="5" t="s">
        <v>38</v>
      </c>
      <c r="D125" s="7" t="n">
        <v>5</v>
      </c>
      <c r="E125" s="8" t="n">
        <v>67.68</v>
      </c>
      <c r="F125" s="8" t="n">
        <v>338.4</v>
      </c>
      <c r="G125" s="5" t="s">
        <v>26</v>
      </c>
      <c r="H125" s="5" t="s">
        <v>24</v>
      </c>
      <c r="I125" s="9" t="str">
        <f aca="false">IF(ABS(F125-D125*E125)&lt;0.011,"OK","Check")</f>
        <v>OK</v>
      </c>
    </row>
    <row r="126" customFormat="false" ht="19.5" hidden="false" customHeight="true" outlineLevel="0" collapsed="false">
      <c r="A126" s="5" t="s">
        <v>155</v>
      </c>
      <c r="B126" s="6" t="n">
        <v>46046</v>
      </c>
      <c r="C126" s="5" t="s">
        <v>28</v>
      </c>
      <c r="D126" s="7" t="n">
        <v>4</v>
      </c>
      <c r="E126" s="8" t="n">
        <v>155.01</v>
      </c>
      <c r="F126" s="8" t="n">
        <v>620.04</v>
      </c>
      <c r="G126" s="5" t="s">
        <v>26</v>
      </c>
      <c r="H126" s="5" t="s">
        <v>32</v>
      </c>
      <c r="I126" s="9" t="str">
        <f aca="false">IF(ABS(F126-D126*E126)&lt;0.011,"OK","Check")</f>
        <v>OK</v>
      </c>
    </row>
    <row r="127" customFormat="false" ht="19.5" hidden="false" customHeight="true" outlineLevel="0" collapsed="false">
      <c r="A127" s="5" t="s">
        <v>156</v>
      </c>
      <c r="B127" s="6" t="n">
        <v>46181</v>
      </c>
      <c r="C127" s="5" t="s">
        <v>22</v>
      </c>
      <c r="D127" s="7" t="n">
        <v>7</v>
      </c>
      <c r="E127" s="8" t="n">
        <v>164.92</v>
      </c>
      <c r="F127" s="8" t="n">
        <v>1154.44</v>
      </c>
      <c r="G127" s="5" t="s">
        <v>23</v>
      </c>
      <c r="H127" s="5" t="s">
        <v>14</v>
      </c>
      <c r="I127" s="9" t="str">
        <f aca="false">IF(ABS(F127-D127*E127)&lt;0.011,"OK","Check")</f>
        <v>OK</v>
      </c>
    </row>
    <row r="128" customFormat="false" ht="19.5" hidden="false" customHeight="true" outlineLevel="0" collapsed="false">
      <c r="A128" s="5" t="s">
        <v>157</v>
      </c>
      <c r="B128" s="6" t="n">
        <v>46030</v>
      </c>
      <c r="C128" s="5" t="s">
        <v>19</v>
      </c>
      <c r="D128" s="7" t="n">
        <v>4</v>
      </c>
      <c r="E128" s="8" t="n">
        <v>73.54</v>
      </c>
      <c r="F128" s="8" t="n">
        <v>294.16</v>
      </c>
      <c r="G128" s="5" t="s">
        <v>29</v>
      </c>
      <c r="H128" s="5" t="s">
        <v>43</v>
      </c>
      <c r="I128" s="9" t="str">
        <f aca="false">IF(ABS(F128-D128*E128)&lt;0.011,"OK","Check")</f>
        <v>OK</v>
      </c>
    </row>
    <row r="129" customFormat="false" ht="19.5" hidden="false" customHeight="true" outlineLevel="0" collapsed="false">
      <c r="A129" s="5" t="s">
        <v>158</v>
      </c>
      <c r="B129" s="6" t="n">
        <v>46061</v>
      </c>
      <c r="C129" s="5" t="s">
        <v>36</v>
      </c>
      <c r="D129" s="7" t="n">
        <v>6</v>
      </c>
      <c r="E129" s="8" t="n">
        <v>64.57</v>
      </c>
      <c r="F129" s="8" t="n">
        <v>387.42</v>
      </c>
      <c r="G129" s="5" t="s">
        <v>29</v>
      </c>
      <c r="H129" s="5" t="s">
        <v>20</v>
      </c>
      <c r="I129" s="9" t="str">
        <f aca="false">IF(ABS(F129-D129*E129)&lt;0.011,"OK","Check")</f>
        <v>OK</v>
      </c>
    </row>
    <row r="130" customFormat="false" ht="19.5" hidden="false" customHeight="true" outlineLevel="0" collapsed="false">
      <c r="A130" s="5" t="s">
        <v>159</v>
      </c>
      <c r="B130" s="6" t="n">
        <v>46078</v>
      </c>
      <c r="C130" s="5" t="s">
        <v>36</v>
      </c>
      <c r="D130" s="7" t="n">
        <v>6</v>
      </c>
      <c r="E130" s="8" t="n">
        <v>100.31</v>
      </c>
      <c r="F130" s="8" t="n">
        <v>601.86</v>
      </c>
      <c r="G130" s="5" t="s">
        <v>26</v>
      </c>
      <c r="H130" s="5" t="s">
        <v>43</v>
      </c>
      <c r="I130" s="9" t="str">
        <f aca="false">IF(ABS(F130-D130*E130)&lt;0.011,"OK","Check")</f>
        <v>OK</v>
      </c>
    </row>
    <row r="131" customFormat="false" ht="19.5" hidden="false" customHeight="true" outlineLevel="0" collapsed="false">
      <c r="A131" s="5" t="s">
        <v>160</v>
      </c>
      <c r="B131" s="6" t="n">
        <v>46036</v>
      </c>
      <c r="C131" s="5" t="s">
        <v>47</v>
      </c>
      <c r="D131" s="7" t="n">
        <v>2</v>
      </c>
      <c r="E131" s="8" t="n">
        <v>101.62</v>
      </c>
      <c r="F131" s="8" t="n">
        <v>203.24</v>
      </c>
      <c r="G131" s="5" t="s">
        <v>23</v>
      </c>
      <c r="H131" s="5" t="s">
        <v>39</v>
      </c>
      <c r="I131" s="9" t="str">
        <f aca="false">IF(ABS(F131-D131*E131)&lt;0.011,"OK","Check")</f>
        <v>OK</v>
      </c>
    </row>
    <row r="132" customFormat="false" ht="19.5" hidden="false" customHeight="true" outlineLevel="0" collapsed="false">
      <c r="A132" s="5" t="s">
        <v>161</v>
      </c>
      <c r="B132" s="6" t="n">
        <v>46046</v>
      </c>
      <c r="C132" s="5" t="s">
        <v>22</v>
      </c>
      <c r="D132" s="7" t="n">
        <v>1</v>
      </c>
      <c r="E132" s="8" t="n">
        <v>218.28</v>
      </c>
      <c r="F132" s="8" t="n">
        <v>218.28</v>
      </c>
      <c r="G132" s="5" t="s">
        <v>23</v>
      </c>
      <c r="H132" s="5" t="s">
        <v>39</v>
      </c>
      <c r="I132" s="9" t="str">
        <f aca="false">IF(ABS(F132-D132*E132)&lt;0.011,"OK","Check")</f>
        <v>OK</v>
      </c>
    </row>
    <row r="133" customFormat="false" ht="19.5" hidden="false" customHeight="true" outlineLevel="0" collapsed="false">
      <c r="A133" s="5" t="s">
        <v>162</v>
      </c>
      <c r="B133" s="6" t="n">
        <v>46144</v>
      </c>
      <c r="C133" s="5" t="s">
        <v>67</v>
      </c>
      <c r="D133" s="7" t="n">
        <v>7</v>
      </c>
      <c r="E133" s="8" t="n">
        <v>136.89</v>
      </c>
      <c r="F133" s="8" t="n">
        <v>958.23</v>
      </c>
      <c r="G133" s="5" t="s">
        <v>29</v>
      </c>
      <c r="H133" s="5" t="s">
        <v>24</v>
      </c>
      <c r="I133" s="9" t="str">
        <f aca="false">IF(ABS(F133-D133*E133)&lt;0.011,"OK","Check")</f>
        <v>OK</v>
      </c>
    </row>
    <row r="134" customFormat="false" ht="19.5" hidden="false" customHeight="true" outlineLevel="0" collapsed="false">
      <c r="A134" s="5" t="s">
        <v>163</v>
      </c>
      <c r="B134" s="6" t="n">
        <v>46161</v>
      </c>
      <c r="C134" s="5" t="s">
        <v>47</v>
      </c>
      <c r="D134" s="7" t="n">
        <v>7</v>
      </c>
      <c r="E134" s="8" t="n">
        <v>222.09</v>
      </c>
      <c r="F134" s="8" t="n">
        <v>1554.63</v>
      </c>
      <c r="G134" s="5" t="s">
        <v>23</v>
      </c>
      <c r="H134" s="5" t="s">
        <v>39</v>
      </c>
      <c r="I134" s="9" t="str">
        <f aca="false">IF(ABS(F134-D134*E134)&lt;0.011,"OK","Check")</f>
        <v>OK</v>
      </c>
    </row>
    <row r="135" customFormat="false" ht="19.5" hidden="false" customHeight="true" outlineLevel="0" collapsed="false">
      <c r="A135" s="5" t="s">
        <v>164</v>
      </c>
      <c r="B135" s="6" t="n">
        <v>46188</v>
      </c>
      <c r="C135" s="5" t="s">
        <v>12</v>
      </c>
      <c r="D135" s="7" t="n">
        <v>8</v>
      </c>
      <c r="E135" s="8" t="n">
        <v>216.34</v>
      </c>
      <c r="F135" s="8" t="n">
        <v>1730.72</v>
      </c>
      <c r="G135" s="5" t="s">
        <v>17</v>
      </c>
      <c r="H135" s="5" t="s">
        <v>24</v>
      </c>
      <c r="I135" s="9" t="str">
        <f aca="false">IF(ABS(F135-D135*E135)&lt;0.011,"OK","Check")</f>
        <v>OK</v>
      </c>
    </row>
    <row r="136" customFormat="false" ht="19.5" hidden="false" customHeight="true" outlineLevel="0" collapsed="false">
      <c r="A136" s="5" t="s">
        <v>165</v>
      </c>
      <c r="B136" s="6" t="n">
        <v>46155</v>
      </c>
      <c r="C136" s="5" t="s">
        <v>38</v>
      </c>
      <c r="D136" s="7" t="n">
        <v>8</v>
      </c>
      <c r="E136" s="8" t="n">
        <v>101.86</v>
      </c>
      <c r="F136" s="8" t="n">
        <v>814.88</v>
      </c>
      <c r="G136" s="5" t="s">
        <v>26</v>
      </c>
      <c r="H136" s="5" t="s">
        <v>14</v>
      </c>
      <c r="I136" s="9" t="str">
        <f aca="false">IF(ABS(F136-D136*E136)&lt;0.011,"OK","Check")</f>
        <v>OK</v>
      </c>
    </row>
    <row r="137" customFormat="false" ht="19.5" hidden="false" customHeight="true" outlineLevel="0" collapsed="false">
      <c r="A137" s="5" t="s">
        <v>166</v>
      </c>
      <c r="B137" s="6" t="n">
        <v>46061</v>
      </c>
      <c r="C137" s="5" t="s">
        <v>67</v>
      </c>
      <c r="D137" s="7" t="n">
        <v>4</v>
      </c>
      <c r="E137" s="8" t="n">
        <v>76.08</v>
      </c>
      <c r="F137" s="8" t="n">
        <v>304.32</v>
      </c>
      <c r="G137" s="5" t="s">
        <v>23</v>
      </c>
      <c r="H137" s="5" t="s">
        <v>24</v>
      </c>
      <c r="I137" s="9" t="str">
        <f aca="false">IF(ABS(F137-D137*E137)&lt;0.011,"OK","Check")</f>
        <v>OK</v>
      </c>
    </row>
    <row r="138" customFormat="false" ht="19.5" hidden="false" customHeight="true" outlineLevel="0" collapsed="false">
      <c r="A138" s="5" t="s">
        <v>167</v>
      </c>
      <c r="B138" s="6" t="n">
        <v>46157</v>
      </c>
      <c r="C138" s="5" t="s">
        <v>22</v>
      </c>
      <c r="D138" s="7" t="n">
        <v>4</v>
      </c>
      <c r="E138" s="8" t="n">
        <v>86.42</v>
      </c>
      <c r="F138" s="8" t="n">
        <v>345.68</v>
      </c>
      <c r="G138" s="5" t="s">
        <v>13</v>
      </c>
      <c r="H138" s="5" t="s">
        <v>32</v>
      </c>
      <c r="I138" s="9" t="str">
        <f aca="false">IF(ABS(F138-D138*E138)&lt;0.011,"OK","Check")</f>
        <v>OK</v>
      </c>
    </row>
    <row r="139" customFormat="false" ht="19.5" hidden="false" customHeight="true" outlineLevel="0" collapsed="false">
      <c r="A139" s="5" t="s">
        <v>168</v>
      </c>
      <c r="B139" s="6" t="n">
        <v>46160</v>
      </c>
      <c r="C139" s="5" t="s">
        <v>16</v>
      </c>
      <c r="D139" s="7" t="n">
        <v>4</v>
      </c>
      <c r="E139" s="8" t="n">
        <v>173.35</v>
      </c>
      <c r="F139" s="8" t="n">
        <v>693.4</v>
      </c>
      <c r="G139" s="5" t="s">
        <v>17</v>
      </c>
      <c r="H139" s="5" t="s">
        <v>39</v>
      </c>
      <c r="I139" s="9" t="str">
        <f aca="false">IF(ABS(F139-D139*E139)&lt;0.011,"OK","Check")</f>
        <v>OK</v>
      </c>
    </row>
    <row r="140" customFormat="false" ht="19.5" hidden="false" customHeight="true" outlineLevel="0" collapsed="false">
      <c r="A140" s="5" t="s">
        <v>169</v>
      </c>
      <c r="B140" s="6" t="n">
        <v>46197</v>
      </c>
      <c r="C140" s="5" t="s">
        <v>34</v>
      </c>
      <c r="D140" s="7" t="n">
        <v>1</v>
      </c>
      <c r="E140" s="8" t="n">
        <v>162.11</v>
      </c>
      <c r="F140" s="8" t="n">
        <v>162.11</v>
      </c>
      <c r="G140" s="5" t="s">
        <v>29</v>
      </c>
      <c r="H140" s="5" t="s">
        <v>20</v>
      </c>
      <c r="I140" s="9" t="str">
        <f aca="false">IF(ABS(F140-D140*E140)&lt;0.011,"OK","Check")</f>
        <v>OK</v>
      </c>
    </row>
    <row r="141" customFormat="false" ht="19.5" hidden="false" customHeight="true" outlineLevel="0" collapsed="false">
      <c r="A141" s="5" t="s">
        <v>170</v>
      </c>
      <c r="B141" s="6" t="n">
        <v>46184</v>
      </c>
      <c r="C141" s="5" t="s">
        <v>38</v>
      </c>
      <c r="D141" s="7" t="n">
        <v>5</v>
      </c>
      <c r="E141" s="8" t="n">
        <v>153.15</v>
      </c>
      <c r="F141" s="8" t="n">
        <v>765.75</v>
      </c>
      <c r="G141" s="5" t="s">
        <v>17</v>
      </c>
      <c r="H141" s="5" t="s">
        <v>39</v>
      </c>
      <c r="I141" s="9" t="str">
        <f aca="false">IF(ABS(F141-D141*E141)&lt;0.011,"OK","Check")</f>
        <v>OK</v>
      </c>
    </row>
    <row r="142" customFormat="false" ht="19.5" hidden="false" customHeight="true" outlineLevel="0" collapsed="false">
      <c r="A142" s="5" t="s">
        <v>171</v>
      </c>
      <c r="B142" s="6" t="n">
        <v>46170</v>
      </c>
      <c r="C142" s="5" t="s">
        <v>42</v>
      </c>
      <c r="D142" s="7" t="n">
        <v>2</v>
      </c>
      <c r="E142" s="8" t="n">
        <v>155.6</v>
      </c>
      <c r="F142" s="8" t="n">
        <v>311.2</v>
      </c>
      <c r="G142" s="5" t="s">
        <v>26</v>
      </c>
      <c r="H142" s="5" t="s">
        <v>14</v>
      </c>
      <c r="I142" s="9" t="str">
        <f aca="false">IF(ABS(F142-D142*E142)&lt;0.011,"OK","Check")</f>
        <v>OK</v>
      </c>
    </row>
    <row r="143" customFormat="false" ht="19.5" hidden="false" customHeight="true" outlineLevel="0" collapsed="false">
      <c r="A143" s="5" t="s">
        <v>172</v>
      </c>
      <c r="B143" s="6" t="n">
        <v>46169</v>
      </c>
      <c r="C143" s="5" t="s">
        <v>19</v>
      </c>
      <c r="D143" s="7" t="n">
        <v>6</v>
      </c>
      <c r="E143" s="8" t="n">
        <v>16.7</v>
      </c>
      <c r="F143" s="8" t="n">
        <v>100.2</v>
      </c>
      <c r="G143" s="5" t="s">
        <v>17</v>
      </c>
      <c r="H143" s="5" t="s">
        <v>14</v>
      </c>
      <c r="I143" s="9" t="str">
        <f aca="false">IF(ABS(F143-D143*E143)&lt;0.011,"OK","Check")</f>
        <v>OK</v>
      </c>
    </row>
    <row r="144" customFormat="false" ht="19.5" hidden="false" customHeight="true" outlineLevel="0" collapsed="false">
      <c r="A144" s="5" t="s">
        <v>173</v>
      </c>
      <c r="B144" s="6" t="n">
        <v>46025</v>
      </c>
      <c r="C144" s="5" t="s">
        <v>38</v>
      </c>
      <c r="D144" s="7" t="n">
        <v>6</v>
      </c>
      <c r="E144" s="8" t="n">
        <v>19.1</v>
      </c>
      <c r="F144" s="8" t="n">
        <v>114.6</v>
      </c>
      <c r="G144" s="5" t="s">
        <v>13</v>
      </c>
      <c r="H144" s="5" t="s">
        <v>39</v>
      </c>
      <c r="I144" s="9" t="str">
        <f aca="false">IF(ABS(F144-D144*E144)&lt;0.011,"OK","Check")</f>
        <v>OK</v>
      </c>
    </row>
    <row r="145" customFormat="false" ht="19.5" hidden="false" customHeight="true" outlineLevel="0" collapsed="false">
      <c r="A145" s="5" t="s">
        <v>174</v>
      </c>
      <c r="B145" s="6" t="n">
        <v>46105</v>
      </c>
      <c r="C145" s="5" t="s">
        <v>12</v>
      </c>
      <c r="D145" s="7" t="n">
        <v>7</v>
      </c>
      <c r="E145" s="8" t="n">
        <v>72.07</v>
      </c>
      <c r="F145" s="8" t="n">
        <v>504.49</v>
      </c>
      <c r="G145" s="5" t="s">
        <v>17</v>
      </c>
      <c r="H145" s="5" t="s">
        <v>32</v>
      </c>
      <c r="I145" s="9" t="str">
        <f aca="false">IF(ABS(F145-D145*E145)&lt;0.011,"OK","Check")</f>
        <v>OK</v>
      </c>
    </row>
    <row r="146" customFormat="false" ht="19.5" hidden="false" customHeight="true" outlineLevel="0" collapsed="false">
      <c r="A146" s="5" t="s">
        <v>175</v>
      </c>
      <c r="B146" s="6" t="n">
        <v>46132</v>
      </c>
      <c r="C146" s="5" t="s">
        <v>38</v>
      </c>
      <c r="D146" s="7" t="n">
        <v>1</v>
      </c>
      <c r="E146" s="8" t="n">
        <v>124.59</v>
      </c>
      <c r="F146" s="8" t="n">
        <v>124.59</v>
      </c>
      <c r="G146" s="5" t="s">
        <v>23</v>
      </c>
      <c r="H146" s="5" t="s">
        <v>20</v>
      </c>
      <c r="I146" s="9" t="str">
        <f aca="false">IF(ABS(F146-D146*E146)&lt;0.011,"OK","Check")</f>
        <v>OK</v>
      </c>
    </row>
    <row r="147" customFormat="false" ht="19.5" hidden="false" customHeight="true" outlineLevel="0" collapsed="false">
      <c r="A147" s="5" t="s">
        <v>176</v>
      </c>
      <c r="B147" s="6" t="n">
        <v>46134</v>
      </c>
      <c r="C147" s="5" t="s">
        <v>31</v>
      </c>
      <c r="D147" s="7" t="n">
        <v>4</v>
      </c>
      <c r="E147" s="8" t="n">
        <v>156.06</v>
      </c>
      <c r="F147" s="8" t="n">
        <v>624.24</v>
      </c>
      <c r="G147" s="5" t="s">
        <v>26</v>
      </c>
      <c r="H147" s="5" t="s">
        <v>24</v>
      </c>
      <c r="I147" s="9" t="str">
        <f aca="false">IF(ABS(F147-D147*E147)&lt;0.011,"OK","Check")</f>
        <v>OK</v>
      </c>
    </row>
    <row r="148" customFormat="false" ht="19.5" hidden="false" customHeight="true" outlineLevel="0" collapsed="false">
      <c r="A148" s="5" t="s">
        <v>177</v>
      </c>
      <c r="B148" s="6" t="n">
        <v>46181</v>
      </c>
      <c r="C148" s="5" t="s">
        <v>19</v>
      </c>
      <c r="D148" s="7" t="n">
        <v>7</v>
      </c>
      <c r="E148" s="8" t="n">
        <v>209.76</v>
      </c>
      <c r="F148" s="8" t="n">
        <v>1468.32</v>
      </c>
      <c r="G148" s="5" t="s">
        <v>26</v>
      </c>
      <c r="H148" s="5" t="s">
        <v>20</v>
      </c>
      <c r="I148" s="9" t="str">
        <f aca="false">IF(ABS(F148-D148*E148)&lt;0.011,"OK","Check")</f>
        <v>OK</v>
      </c>
    </row>
    <row r="149" customFormat="false" ht="19.5" hidden="false" customHeight="true" outlineLevel="0" collapsed="false">
      <c r="A149" s="5" t="s">
        <v>178</v>
      </c>
      <c r="B149" s="6" t="n">
        <v>46183</v>
      </c>
      <c r="C149" s="5" t="s">
        <v>22</v>
      </c>
      <c r="D149" s="7" t="n">
        <v>4</v>
      </c>
      <c r="E149" s="8" t="n">
        <v>156.38</v>
      </c>
      <c r="F149" s="8" t="n">
        <v>625.52</v>
      </c>
      <c r="G149" s="5" t="s">
        <v>17</v>
      </c>
      <c r="H149" s="5" t="s">
        <v>43</v>
      </c>
      <c r="I149" s="9" t="str">
        <f aca="false">IF(ABS(F149-D149*E149)&lt;0.011,"OK","Check")</f>
        <v>OK</v>
      </c>
    </row>
    <row r="150" customFormat="false" ht="19.5" hidden="false" customHeight="true" outlineLevel="0" collapsed="false">
      <c r="A150" s="5" t="s">
        <v>179</v>
      </c>
      <c r="B150" s="6" t="n">
        <v>46070</v>
      </c>
      <c r="C150" s="5" t="s">
        <v>38</v>
      </c>
      <c r="D150" s="7" t="n">
        <v>1</v>
      </c>
      <c r="E150" s="8" t="n">
        <v>160.51</v>
      </c>
      <c r="F150" s="8" t="n">
        <v>160.51</v>
      </c>
      <c r="G150" s="5" t="s">
        <v>13</v>
      </c>
      <c r="H150" s="5" t="s">
        <v>14</v>
      </c>
      <c r="I150" s="9" t="str">
        <f aca="false">IF(ABS(F150-D150*E150)&lt;0.011,"OK","Check")</f>
        <v>OK</v>
      </c>
    </row>
    <row r="151" customFormat="false" ht="19.5" hidden="false" customHeight="true" outlineLevel="0" collapsed="false">
      <c r="A151" s="5" t="s">
        <v>180</v>
      </c>
      <c r="B151" s="6" t="n">
        <v>46030</v>
      </c>
      <c r="C151" s="5" t="s">
        <v>22</v>
      </c>
      <c r="D151" s="7" t="n">
        <v>5</v>
      </c>
      <c r="E151" s="8" t="n">
        <v>97.85</v>
      </c>
      <c r="F151" s="8" t="n">
        <v>489.25</v>
      </c>
      <c r="G151" s="5" t="s">
        <v>29</v>
      </c>
      <c r="H151" s="5" t="s">
        <v>14</v>
      </c>
      <c r="I151" s="9" t="str">
        <f aca="false">IF(ABS(F151-D151*E151)&lt;0.011,"OK","Check")</f>
        <v>OK</v>
      </c>
    </row>
    <row r="152" customFormat="false" ht="19.5" hidden="false" customHeight="true" outlineLevel="0" collapsed="false">
      <c r="A152" s="5" t="s">
        <v>181</v>
      </c>
      <c r="B152" s="6" t="n">
        <v>46182</v>
      </c>
      <c r="C152" s="5" t="s">
        <v>34</v>
      </c>
      <c r="D152" s="7" t="n">
        <v>7</v>
      </c>
      <c r="E152" s="8" t="n">
        <v>154.63</v>
      </c>
      <c r="F152" s="8" t="n">
        <v>1082.41</v>
      </c>
      <c r="G152" s="5" t="s">
        <v>17</v>
      </c>
      <c r="H152" s="5" t="s">
        <v>39</v>
      </c>
      <c r="I152" s="9" t="str">
        <f aca="false">IF(ABS(F152-D152*E152)&lt;0.011,"OK","Check")</f>
        <v>OK</v>
      </c>
    </row>
    <row r="153" customFormat="false" ht="19.5" hidden="false" customHeight="true" outlineLevel="0" collapsed="false">
      <c r="A153" s="5" t="s">
        <v>182</v>
      </c>
      <c r="B153" s="6" t="n">
        <v>46177</v>
      </c>
      <c r="C153" s="5" t="s">
        <v>34</v>
      </c>
      <c r="D153" s="7" t="n">
        <v>3</v>
      </c>
      <c r="E153" s="8" t="n">
        <v>151.96</v>
      </c>
      <c r="F153" s="8" t="n">
        <v>455.88</v>
      </c>
      <c r="G153" s="5" t="s">
        <v>23</v>
      </c>
      <c r="H153" s="5" t="s">
        <v>14</v>
      </c>
      <c r="I153" s="9" t="str">
        <f aca="false">IF(ABS(F153-D153*E153)&lt;0.011,"OK","Check")</f>
        <v>OK</v>
      </c>
    </row>
    <row r="154" customFormat="false" ht="19.5" hidden="false" customHeight="true" outlineLevel="0" collapsed="false">
      <c r="A154" s="5" t="s">
        <v>183</v>
      </c>
      <c r="B154" s="6" t="n">
        <v>46139</v>
      </c>
      <c r="C154" s="5" t="s">
        <v>67</v>
      </c>
      <c r="D154" s="7" t="n">
        <v>4</v>
      </c>
      <c r="E154" s="8" t="n">
        <v>150.59</v>
      </c>
      <c r="F154" s="8" t="n">
        <v>602.36</v>
      </c>
      <c r="G154" s="5" t="s">
        <v>26</v>
      </c>
      <c r="H154" s="5" t="s">
        <v>24</v>
      </c>
      <c r="I154" s="9" t="str">
        <f aca="false">IF(ABS(F154-D154*E154)&lt;0.011,"OK","Check")</f>
        <v>OK</v>
      </c>
    </row>
    <row r="155" customFormat="false" ht="19.5" hidden="false" customHeight="true" outlineLevel="0" collapsed="false">
      <c r="A155" s="5" t="s">
        <v>184</v>
      </c>
      <c r="B155" s="6" t="n">
        <v>46106</v>
      </c>
      <c r="C155" s="5" t="s">
        <v>31</v>
      </c>
      <c r="D155" s="7" t="n">
        <v>3</v>
      </c>
      <c r="E155" s="8" t="n">
        <v>52.27</v>
      </c>
      <c r="F155" s="8" t="n">
        <v>156.81</v>
      </c>
      <c r="G155" s="5" t="s">
        <v>23</v>
      </c>
      <c r="H155" s="5" t="s">
        <v>20</v>
      </c>
      <c r="I155" s="9" t="str">
        <f aca="false">IF(ABS(F155-D155*E155)&lt;0.011,"OK","Check")</f>
        <v>OK</v>
      </c>
    </row>
    <row r="156" customFormat="false" ht="19.5" hidden="false" customHeight="true" outlineLevel="0" collapsed="false">
      <c r="A156" s="5" t="s">
        <v>185</v>
      </c>
      <c r="B156" s="6" t="n">
        <v>46125</v>
      </c>
      <c r="C156" s="5" t="s">
        <v>36</v>
      </c>
      <c r="D156" s="7" t="n">
        <v>1</v>
      </c>
      <c r="E156" s="8" t="n">
        <v>48.08</v>
      </c>
      <c r="F156" s="8" t="n">
        <v>48.08</v>
      </c>
      <c r="G156" s="5" t="s">
        <v>23</v>
      </c>
      <c r="H156" s="5" t="s">
        <v>43</v>
      </c>
      <c r="I156" s="9" t="str">
        <f aca="false">IF(ABS(F156-D156*E156)&lt;0.011,"OK","Check")</f>
        <v>OK</v>
      </c>
    </row>
    <row r="157" customFormat="false" ht="19.5" hidden="false" customHeight="true" outlineLevel="0" collapsed="false">
      <c r="A157" s="5" t="s">
        <v>186</v>
      </c>
      <c r="B157" s="6" t="n">
        <v>46099</v>
      </c>
      <c r="C157" s="5" t="s">
        <v>22</v>
      </c>
      <c r="D157" s="7" t="n">
        <v>7</v>
      </c>
      <c r="E157" s="8" t="n">
        <v>125.23</v>
      </c>
      <c r="F157" s="8" t="n">
        <v>876.61</v>
      </c>
      <c r="G157" s="5" t="s">
        <v>17</v>
      </c>
      <c r="H157" s="5" t="s">
        <v>24</v>
      </c>
      <c r="I157" s="9" t="str">
        <f aca="false">IF(ABS(F157-D157*E157)&lt;0.011,"OK","Check")</f>
        <v>OK</v>
      </c>
    </row>
    <row r="158" customFormat="false" ht="19.5" hidden="false" customHeight="true" outlineLevel="0" collapsed="false">
      <c r="A158" s="5" t="s">
        <v>187</v>
      </c>
      <c r="B158" s="6" t="n">
        <v>46060</v>
      </c>
      <c r="C158" s="5" t="s">
        <v>38</v>
      </c>
      <c r="D158" s="7" t="n">
        <v>2</v>
      </c>
      <c r="E158" s="8" t="n">
        <v>76.06</v>
      </c>
      <c r="F158" s="8" t="n">
        <v>152.12</v>
      </c>
      <c r="G158" s="5" t="s">
        <v>29</v>
      </c>
      <c r="H158" s="5" t="s">
        <v>24</v>
      </c>
      <c r="I158" s="9" t="str">
        <f aca="false">IF(ABS(F158-D158*E158)&lt;0.011,"OK","Check")</f>
        <v>OK</v>
      </c>
    </row>
    <row r="159" customFormat="false" ht="19.5" hidden="false" customHeight="true" outlineLevel="0" collapsed="false">
      <c r="A159" s="5" t="s">
        <v>188</v>
      </c>
      <c r="B159" s="6" t="n">
        <v>46102</v>
      </c>
      <c r="C159" s="5" t="s">
        <v>31</v>
      </c>
      <c r="D159" s="7" t="n">
        <v>5</v>
      </c>
      <c r="E159" s="8" t="n">
        <v>177.09</v>
      </c>
      <c r="F159" s="8" t="n">
        <v>885.45</v>
      </c>
      <c r="G159" s="5" t="s">
        <v>13</v>
      </c>
      <c r="H159" s="5" t="s">
        <v>32</v>
      </c>
      <c r="I159" s="9" t="str">
        <f aca="false">IF(ABS(F159-D159*E159)&lt;0.011,"OK","Check")</f>
        <v>OK</v>
      </c>
    </row>
    <row r="160" customFormat="false" ht="19.5" hidden="false" customHeight="true" outlineLevel="0" collapsed="false">
      <c r="A160" s="5" t="s">
        <v>189</v>
      </c>
      <c r="B160" s="6" t="n">
        <v>46104</v>
      </c>
      <c r="C160" s="5" t="s">
        <v>19</v>
      </c>
      <c r="D160" s="7" t="n">
        <v>2</v>
      </c>
      <c r="E160" s="8" t="n">
        <v>81.39</v>
      </c>
      <c r="F160" s="8" t="n">
        <v>162.78</v>
      </c>
      <c r="G160" s="5" t="s">
        <v>13</v>
      </c>
      <c r="H160" s="5" t="s">
        <v>20</v>
      </c>
      <c r="I160" s="9" t="str">
        <f aca="false">IF(ABS(F160-D160*E160)&lt;0.011,"OK","Check")</f>
        <v>OK</v>
      </c>
    </row>
    <row r="161" customFormat="false" ht="19.5" hidden="false" customHeight="true" outlineLevel="0" collapsed="false">
      <c r="A161" s="5" t="s">
        <v>190</v>
      </c>
      <c r="B161" s="6" t="n">
        <v>46196</v>
      </c>
      <c r="C161" s="5" t="s">
        <v>36</v>
      </c>
      <c r="D161" s="7" t="n">
        <v>8</v>
      </c>
      <c r="E161" s="8" t="n">
        <v>186.75</v>
      </c>
      <c r="F161" s="8" t="n">
        <v>1494</v>
      </c>
      <c r="G161" s="5" t="s">
        <v>29</v>
      </c>
      <c r="H161" s="5" t="s">
        <v>14</v>
      </c>
      <c r="I161" s="9" t="str">
        <f aca="false">IF(ABS(F161-D161*E161)&lt;0.011,"OK","Check")</f>
        <v>OK</v>
      </c>
    </row>
    <row r="162" customFormat="false" ht="19.5" hidden="false" customHeight="true" outlineLevel="0" collapsed="false">
      <c r="A162" s="5" t="s">
        <v>191</v>
      </c>
      <c r="B162" s="6" t="n">
        <v>46046</v>
      </c>
      <c r="C162" s="5" t="s">
        <v>16</v>
      </c>
      <c r="D162" s="7" t="n">
        <v>5</v>
      </c>
      <c r="E162" s="8" t="n">
        <v>105.75</v>
      </c>
      <c r="F162" s="8" t="n">
        <v>528.75</v>
      </c>
      <c r="G162" s="5" t="s">
        <v>17</v>
      </c>
      <c r="H162" s="5" t="s">
        <v>14</v>
      </c>
      <c r="I162" s="9" t="str">
        <f aca="false">IF(ABS(F162-D162*E162)&lt;0.011,"OK","Check")</f>
        <v>OK</v>
      </c>
    </row>
    <row r="163" customFormat="false" ht="19.5" hidden="false" customHeight="true" outlineLevel="0" collapsed="false">
      <c r="A163" s="5" t="s">
        <v>192</v>
      </c>
      <c r="B163" s="6" t="n">
        <v>46093</v>
      </c>
      <c r="C163" s="5" t="s">
        <v>31</v>
      </c>
      <c r="D163" s="7" t="n">
        <v>1</v>
      </c>
      <c r="E163" s="8" t="n">
        <v>166.85</v>
      </c>
      <c r="F163" s="8" t="n">
        <v>166.85</v>
      </c>
      <c r="G163" s="5" t="s">
        <v>23</v>
      </c>
      <c r="H163" s="5" t="s">
        <v>32</v>
      </c>
      <c r="I163" s="9" t="str">
        <f aca="false">IF(ABS(F163-D163*E163)&lt;0.011,"OK","Check")</f>
        <v>OK</v>
      </c>
    </row>
    <row r="164" customFormat="false" ht="19.5" hidden="false" customHeight="true" outlineLevel="0" collapsed="false">
      <c r="A164" s="5" t="s">
        <v>193</v>
      </c>
      <c r="B164" s="6" t="n">
        <v>46045</v>
      </c>
      <c r="C164" s="5" t="s">
        <v>38</v>
      </c>
      <c r="D164" s="7" t="n">
        <v>4</v>
      </c>
      <c r="E164" s="8" t="n">
        <v>84.28</v>
      </c>
      <c r="F164" s="8" t="n">
        <v>337.12</v>
      </c>
      <c r="G164" s="5" t="s">
        <v>29</v>
      </c>
      <c r="H164" s="5" t="s">
        <v>39</v>
      </c>
      <c r="I164" s="9" t="str">
        <f aca="false">IF(ABS(F164-D164*E164)&lt;0.011,"OK","Check")</f>
        <v>OK</v>
      </c>
    </row>
    <row r="165" customFormat="false" ht="19.5" hidden="false" customHeight="true" outlineLevel="0" collapsed="false">
      <c r="A165" s="5" t="s">
        <v>194</v>
      </c>
      <c r="B165" s="6" t="n">
        <v>46144</v>
      </c>
      <c r="C165" s="5" t="s">
        <v>28</v>
      </c>
      <c r="D165" s="7" t="n">
        <v>6</v>
      </c>
      <c r="E165" s="8" t="n">
        <v>131.34</v>
      </c>
      <c r="F165" s="8" t="n">
        <v>788.04</v>
      </c>
      <c r="G165" s="5" t="s">
        <v>17</v>
      </c>
      <c r="H165" s="5" t="s">
        <v>39</v>
      </c>
      <c r="I165" s="9" t="str">
        <f aca="false">IF(ABS(F165-D165*E165)&lt;0.011,"OK","Check")</f>
        <v>OK</v>
      </c>
    </row>
    <row r="166" customFormat="false" ht="19.5" hidden="false" customHeight="true" outlineLevel="0" collapsed="false">
      <c r="A166" s="5" t="s">
        <v>195</v>
      </c>
      <c r="B166" s="6" t="n">
        <v>46194</v>
      </c>
      <c r="C166" s="5" t="s">
        <v>38</v>
      </c>
      <c r="D166" s="7" t="n">
        <v>5</v>
      </c>
      <c r="E166" s="8" t="n">
        <v>162.14</v>
      </c>
      <c r="F166" s="8" t="n">
        <v>810.7</v>
      </c>
      <c r="G166" s="5" t="s">
        <v>29</v>
      </c>
      <c r="H166" s="5" t="s">
        <v>24</v>
      </c>
      <c r="I166" s="9" t="str">
        <f aca="false">IF(ABS(F166-D166*E166)&lt;0.011,"OK","Check")</f>
        <v>OK</v>
      </c>
    </row>
    <row r="167" customFormat="false" ht="19.5" hidden="false" customHeight="true" outlineLevel="0" collapsed="false">
      <c r="A167" s="5" t="s">
        <v>196</v>
      </c>
      <c r="B167" s="6" t="n">
        <v>46104</v>
      </c>
      <c r="C167" s="5" t="s">
        <v>42</v>
      </c>
      <c r="D167" s="7" t="n">
        <v>3</v>
      </c>
      <c r="E167" s="8" t="n">
        <v>202.78</v>
      </c>
      <c r="F167" s="8" t="n">
        <v>608.34</v>
      </c>
      <c r="G167" s="5" t="s">
        <v>29</v>
      </c>
      <c r="H167" s="5" t="s">
        <v>14</v>
      </c>
      <c r="I167" s="9" t="str">
        <f aca="false">IF(ABS(F167-D167*E167)&lt;0.011,"OK","Check")</f>
        <v>OK</v>
      </c>
    </row>
    <row r="168" customFormat="false" ht="19.5" hidden="false" customHeight="true" outlineLevel="0" collapsed="false">
      <c r="A168" s="5" t="s">
        <v>197</v>
      </c>
      <c r="B168" s="6" t="n">
        <v>46126</v>
      </c>
      <c r="C168" s="5" t="s">
        <v>16</v>
      </c>
      <c r="D168" s="7" t="n">
        <v>4</v>
      </c>
      <c r="E168" s="8" t="n">
        <v>15.58</v>
      </c>
      <c r="F168" s="8" t="n">
        <v>62.32</v>
      </c>
      <c r="G168" s="5" t="s">
        <v>23</v>
      </c>
      <c r="H168" s="5" t="s">
        <v>32</v>
      </c>
      <c r="I168" s="9" t="str">
        <f aca="false">IF(ABS(F168-D168*E168)&lt;0.011,"OK","Check")</f>
        <v>OK</v>
      </c>
    </row>
    <row r="169" customFormat="false" ht="19.5" hidden="false" customHeight="true" outlineLevel="0" collapsed="false">
      <c r="A169" s="5" t="s">
        <v>198</v>
      </c>
      <c r="B169" s="6" t="n">
        <v>46027</v>
      </c>
      <c r="C169" s="5" t="s">
        <v>47</v>
      </c>
      <c r="D169" s="7" t="n">
        <v>4</v>
      </c>
      <c r="E169" s="8" t="n">
        <v>80.59</v>
      </c>
      <c r="F169" s="8" t="n">
        <v>322.36</v>
      </c>
      <c r="G169" s="5" t="s">
        <v>13</v>
      </c>
      <c r="H169" s="5" t="s">
        <v>43</v>
      </c>
      <c r="I169" s="9" t="str">
        <f aca="false">IF(ABS(F169-D169*E169)&lt;0.011,"OK","Check")</f>
        <v>OK</v>
      </c>
    </row>
    <row r="170" customFormat="false" ht="19.5" hidden="false" customHeight="true" outlineLevel="0" collapsed="false">
      <c r="A170" s="5" t="s">
        <v>199</v>
      </c>
      <c r="B170" s="6" t="n">
        <v>46184</v>
      </c>
      <c r="C170" s="5" t="s">
        <v>67</v>
      </c>
      <c r="D170" s="7" t="n">
        <v>8</v>
      </c>
      <c r="E170" s="8" t="n">
        <v>82.73</v>
      </c>
      <c r="F170" s="8" t="n">
        <v>661.84</v>
      </c>
      <c r="G170" s="5" t="s">
        <v>29</v>
      </c>
      <c r="H170" s="5" t="s">
        <v>43</v>
      </c>
      <c r="I170" s="9" t="str">
        <f aca="false">IF(ABS(F170-D170*E170)&lt;0.011,"OK","Check")</f>
        <v>OK</v>
      </c>
    </row>
    <row r="171" customFormat="false" ht="19.5" hidden="false" customHeight="true" outlineLevel="0" collapsed="false">
      <c r="A171" s="5" t="s">
        <v>200</v>
      </c>
      <c r="B171" s="6" t="n">
        <v>46163</v>
      </c>
      <c r="C171" s="5" t="s">
        <v>22</v>
      </c>
      <c r="D171" s="7" t="n">
        <v>4</v>
      </c>
      <c r="E171" s="8" t="n">
        <v>20.57</v>
      </c>
      <c r="F171" s="8" t="n">
        <v>82.28</v>
      </c>
      <c r="G171" s="5" t="s">
        <v>29</v>
      </c>
      <c r="H171" s="5" t="s">
        <v>43</v>
      </c>
      <c r="I171" s="9" t="str">
        <f aca="false">IF(ABS(F171-D171*E171)&lt;0.011,"OK","Check")</f>
        <v>OK</v>
      </c>
    </row>
    <row r="172" customFormat="false" ht="19.5" hidden="false" customHeight="true" outlineLevel="0" collapsed="false">
      <c r="A172" s="5" t="s">
        <v>201</v>
      </c>
      <c r="B172" s="6" t="n">
        <v>46038</v>
      </c>
      <c r="C172" s="5" t="s">
        <v>67</v>
      </c>
      <c r="D172" s="7" t="n">
        <v>5</v>
      </c>
      <c r="E172" s="8" t="n">
        <v>26.98</v>
      </c>
      <c r="F172" s="8" t="n">
        <v>134.9</v>
      </c>
      <c r="G172" s="5" t="s">
        <v>26</v>
      </c>
      <c r="H172" s="5" t="s">
        <v>14</v>
      </c>
      <c r="I172" s="9" t="str">
        <f aca="false">IF(ABS(F172-D172*E172)&lt;0.011,"OK","Check")</f>
        <v>OK</v>
      </c>
    </row>
    <row r="173" customFormat="false" ht="19.5" hidden="false" customHeight="true" outlineLevel="0" collapsed="false">
      <c r="A173" s="5" t="s">
        <v>202</v>
      </c>
      <c r="B173" s="6" t="n">
        <v>46046</v>
      </c>
      <c r="C173" s="5" t="s">
        <v>22</v>
      </c>
      <c r="D173" s="7" t="n">
        <v>7</v>
      </c>
      <c r="E173" s="8" t="n">
        <v>216.51</v>
      </c>
      <c r="F173" s="8" t="n">
        <v>1515.57</v>
      </c>
      <c r="G173" s="5" t="s">
        <v>13</v>
      </c>
      <c r="H173" s="5" t="s">
        <v>32</v>
      </c>
      <c r="I173" s="9" t="str">
        <f aca="false">IF(ABS(F173-D173*E173)&lt;0.011,"OK","Check")</f>
        <v>OK</v>
      </c>
    </row>
    <row r="174" customFormat="false" ht="19.5" hidden="false" customHeight="true" outlineLevel="0" collapsed="false">
      <c r="A174" s="5" t="s">
        <v>203</v>
      </c>
      <c r="B174" s="6" t="n">
        <v>46148</v>
      </c>
      <c r="C174" s="5" t="s">
        <v>19</v>
      </c>
      <c r="D174" s="7" t="n">
        <v>6</v>
      </c>
      <c r="E174" s="8" t="n">
        <v>119.56</v>
      </c>
      <c r="F174" s="8" t="n">
        <v>717.36</v>
      </c>
      <c r="G174" s="5" t="s">
        <v>26</v>
      </c>
      <c r="H174" s="5" t="s">
        <v>20</v>
      </c>
      <c r="I174" s="9" t="str">
        <f aca="false">IF(ABS(F174-D174*E174)&lt;0.011,"OK","Check")</f>
        <v>OK</v>
      </c>
    </row>
    <row r="175" customFormat="false" ht="19.5" hidden="false" customHeight="true" outlineLevel="0" collapsed="false">
      <c r="A175" s="5" t="s">
        <v>204</v>
      </c>
      <c r="B175" s="6" t="n">
        <v>46102</v>
      </c>
      <c r="C175" s="5" t="s">
        <v>36</v>
      </c>
      <c r="D175" s="7" t="n">
        <v>6</v>
      </c>
      <c r="E175" s="8" t="n">
        <v>67.73</v>
      </c>
      <c r="F175" s="8" t="n">
        <v>406.38</v>
      </c>
      <c r="G175" s="5" t="s">
        <v>29</v>
      </c>
      <c r="H175" s="5" t="s">
        <v>43</v>
      </c>
      <c r="I175" s="9" t="str">
        <f aca="false">IF(ABS(F175-D175*E175)&lt;0.011,"OK","Check")</f>
        <v>OK</v>
      </c>
    </row>
    <row r="176" customFormat="false" ht="19.5" hidden="false" customHeight="true" outlineLevel="0" collapsed="false">
      <c r="A176" s="5" t="s">
        <v>205</v>
      </c>
      <c r="B176" s="6" t="n">
        <v>46193</v>
      </c>
      <c r="C176" s="5" t="s">
        <v>34</v>
      </c>
      <c r="D176" s="7" t="n">
        <v>3</v>
      </c>
      <c r="E176" s="8" t="n">
        <v>88.69</v>
      </c>
      <c r="F176" s="8" t="n">
        <v>266.07</v>
      </c>
      <c r="G176" s="5" t="s">
        <v>29</v>
      </c>
      <c r="H176" s="5" t="s">
        <v>39</v>
      </c>
      <c r="I176" s="9" t="str">
        <f aca="false">IF(ABS(F176-D176*E176)&lt;0.011,"OK","Check")</f>
        <v>OK</v>
      </c>
    </row>
    <row r="177" customFormat="false" ht="19.5" hidden="false" customHeight="true" outlineLevel="0" collapsed="false">
      <c r="A177" s="5" t="s">
        <v>206</v>
      </c>
      <c r="B177" s="6" t="n">
        <v>46162</v>
      </c>
      <c r="C177" s="5" t="s">
        <v>34</v>
      </c>
      <c r="D177" s="7" t="n">
        <v>7</v>
      </c>
      <c r="E177" s="8" t="n">
        <v>17.85</v>
      </c>
      <c r="F177" s="8" t="n">
        <v>124.95</v>
      </c>
      <c r="G177" s="5" t="s">
        <v>29</v>
      </c>
      <c r="H177" s="5" t="s">
        <v>20</v>
      </c>
      <c r="I177" s="9" t="str">
        <f aca="false">IF(ABS(F177-D177*E177)&lt;0.011,"OK","Check")</f>
        <v>OK</v>
      </c>
    </row>
    <row r="178" customFormat="false" ht="19.5" hidden="false" customHeight="true" outlineLevel="0" collapsed="false">
      <c r="A178" s="5" t="s">
        <v>207</v>
      </c>
      <c r="B178" s="6" t="n">
        <v>46149</v>
      </c>
      <c r="C178" s="5" t="s">
        <v>22</v>
      </c>
      <c r="D178" s="7" t="n">
        <v>2</v>
      </c>
      <c r="E178" s="8" t="n">
        <v>100.99</v>
      </c>
      <c r="F178" s="8" t="n">
        <v>201.98</v>
      </c>
      <c r="G178" s="5" t="s">
        <v>29</v>
      </c>
      <c r="H178" s="5" t="s">
        <v>39</v>
      </c>
      <c r="I178" s="9" t="str">
        <f aca="false">IF(ABS(F178-D178*E178)&lt;0.011,"OK","Check")</f>
        <v>OK</v>
      </c>
    </row>
    <row r="179" customFormat="false" ht="19.5" hidden="false" customHeight="true" outlineLevel="0" collapsed="false">
      <c r="A179" s="5" t="s">
        <v>208</v>
      </c>
      <c r="B179" s="6" t="n">
        <v>46187</v>
      </c>
      <c r="C179" s="5" t="s">
        <v>12</v>
      </c>
      <c r="D179" s="7" t="n">
        <v>1</v>
      </c>
      <c r="E179" s="8" t="n">
        <v>111.2</v>
      </c>
      <c r="F179" s="8" t="n">
        <v>111.2</v>
      </c>
      <c r="G179" s="5" t="s">
        <v>26</v>
      </c>
      <c r="H179" s="5" t="s">
        <v>32</v>
      </c>
      <c r="I179" s="9" t="str">
        <f aca="false">IF(ABS(F179-D179*E179)&lt;0.011,"OK","Check")</f>
        <v>OK</v>
      </c>
    </row>
    <row r="180" customFormat="false" ht="19.5" hidden="false" customHeight="true" outlineLevel="0" collapsed="false">
      <c r="A180" s="5" t="s">
        <v>209</v>
      </c>
      <c r="B180" s="6" t="n">
        <v>46084</v>
      </c>
      <c r="C180" s="5" t="s">
        <v>67</v>
      </c>
      <c r="D180" s="7" t="n">
        <v>2</v>
      </c>
      <c r="E180" s="8" t="n">
        <v>101.15</v>
      </c>
      <c r="F180" s="8" t="n">
        <v>202.3</v>
      </c>
      <c r="G180" s="5" t="s">
        <v>17</v>
      </c>
      <c r="H180" s="5" t="s">
        <v>20</v>
      </c>
      <c r="I180" s="9" t="str">
        <f aca="false">IF(ABS(F180-D180*E180)&lt;0.011,"OK","Check")</f>
        <v>OK</v>
      </c>
    </row>
    <row r="181" customFormat="false" ht="19.5" hidden="false" customHeight="true" outlineLevel="0" collapsed="false">
      <c r="A181" s="5" t="s">
        <v>210</v>
      </c>
      <c r="B181" s="6" t="n">
        <v>46182</v>
      </c>
      <c r="C181" s="5" t="s">
        <v>16</v>
      </c>
      <c r="D181" s="7" t="n">
        <v>6</v>
      </c>
      <c r="E181" s="8" t="n">
        <v>133.08</v>
      </c>
      <c r="F181" s="8" t="n">
        <v>798.48</v>
      </c>
      <c r="G181" s="5" t="s">
        <v>29</v>
      </c>
      <c r="H181" s="5" t="s">
        <v>39</v>
      </c>
      <c r="I181" s="9" t="str">
        <f aca="false">IF(ABS(F181-D181*E181)&lt;0.011,"OK","Check")</f>
        <v>OK</v>
      </c>
    </row>
    <row r="182" customFormat="false" ht="19.5" hidden="false" customHeight="true" outlineLevel="0" collapsed="false">
      <c r="A182" s="5" t="s">
        <v>211</v>
      </c>
      <c r="B182" s="6" t="n">
        <v>46079</v>
      </c>
      <c r="C182" s="5" t="s">
        <v>19</v>
      </c>
      <c r="D182" s="7" t="n">
        <v>1</v>
      </c>
      <c r="E182" s="8" t="n">
        <v>230.15</v>
      </c>
      <c r="F182" s="8" t="n">
        <v>230.15</v>
      </c>
      <c r="G182" s="5" t="s">
        <v>23</v>
      </c>
      <c r="H182" s="5" t="s">
        <v>24</v>
      </c>
      <c r="I182" s="9" t="str">
        <f aca="false">IF(ABS(F182-D182*E182)&lt;0.011,"OK","Check")</f>
        <v>OK</v>
      </c>
    </row>
    <row r="183" customFormat="false" ht="19.5" hidden="false" customHeight="true" outlineLevel="0" collapsed="false">
      <c r="A183" s="5" t="s">
        <v>212</v>
      </c>
      <c r="B183" s="6" t="n">
        <v>46075</v>
      </c>
      <c r="C183" s="5" t="s">
        <v>28</v>
      </c>
      <c r="D183" s="7" t="n">
        <v>6</v>
      </c>
      <c r="E183" s="8" t="n">
        <v>97.76</v>
      </c>
      <c r="F183" s="8" t="n">
        <v>586.56</v>
      </c>
      <c r="G183" s="5" t="s">
        <v>29</v>
      </c>
      <c r="H183" s="5" t="s">
        <v>24</v>
      </c>
      <c r="I183" s="9" t="str">
        <f aca="false">IF(ABS(F183-D183*E183)&lt;0.011,"OK","Check")</f>
        <v>OK</v>
      </c>
    </row>
    <row r="184" customFormat="false" ht="19.5" hidden="false" customHeight="true" outlineLevel="0" collapsed="false">
      <c r="A184" s="5" t="s">
        <v>213</v>
      </c>
      <c r="B184" s="6" t="n">
        <v>46156</v>
      </c>
      <c r="C184" s="5" t="s">
        <v>19</v>
      </c>
      <c r="D184" s="7" t="n">
        <v>3</v>
      </c>
      <c r="E184" s="8" t="n">
        <v>71.11</v>
      </c>
      <c r="F184" s="8" t="n">
        <v>213.33</v>
      </c>
      <c r="G184" s="5" t="s">
        <v>23</v>
      </c>
      <c r="H184" s="5" t="s">
        <v>14</v>
      </c>
      <c r="I184" s="9" t="str">
        <f aca="false">IF(ABS(F184-D184*E184)&lt;0.011,"OK","Check")</f>
        <v>OK</v>
      </c>
    </row>
    <row r="185" customFormat="false" ht="19.5" hidden="false" customHeight="true" outlineLevel="0" collapsed="false">
      <c r="A185" s="5" t="s">
        <v>214</v>
      </c>
      <c r="B185" s="6" t="n">
        <v>46195</v>
      </c>
      <c r="C185" s="5" t="s">
        <v>36</v>
      </c>
      <c r="D185" s="7" t="n">
        <v>3</v>
      </c>
      <c r="E185" s="8" t="n">
        <v>65.77</v>
      </c>
      <c r="F185" s="8" t="n">
        <v>197.31</v>
      </c>
      <c r="G185" s="5" t="s">
        <v>17</v>
      </c>
      <c r="H185" s="5" t="s">
        <v>39</v>
      </c>
      <c r="I185" s="9" t="str">
        <f aca="false">IF(ABS(F185-D185*E185)&lt;0.011,"OK","Check")</f>
        <v>OK</v>
      </c>
    </row>
    <row r="186" customFormat="false" ht="19.5" hidden="false" customHeight="true" outlineLevel="0" collapsed="false">
      <c r="A186" s="5" t="s">
        <v>215</v>
      </c>
      <c r="B186" s="6" t="n">
        <v>46196</v>
      </c>
      <c r="C186" s="5" t="s">
        <v>36</v>
      </c>
      <c r="D186" s="7" t="n">
        <v>1</v>
      </c>
      <c r="E186" s="8" t="n">
        <v>31.73</v>
      </c>
      <c r="F186" s="8" t="n">
        <v>31.73</v>
      </c>
      <c r="G186" s="5" t="s">
        <v>29</v>
      </c>
      <c r="H186" s="5" t="s">
        <v>24</v>
      </c>
      <c r="I186" s="9" t="str">
        <f aca="false">IF(ABS(F186-D186*E186)&lt;0.011,"OK","Check")</f>
        <v>OK</v>
      </c>
    </row>
    <row r="187" customFormat="false" ht="19.5" hidden="false" customHeight="true" outlineLevel="0" collapsed="false">
      <c r="A187" s="5" t="s">
        <v>216</v>
      </c>
      <c r="B187" s="6" t="n">
        <v>46096</v>
      </c>
      <c r="C187" s="5" t="s">
        <v>28</v>
      </c>
      <c r="D187" s="7" t="n">
        <v>8</v>
      </c>
      <c r="E187" s="8" t="n">
        <v>99.49</v>
      </c>
      <c r="F187" s="8" t="n">
        <v>795.92</v>
      </c>
      <c r="G187" s="5" t="s">
        <v>13</v>
      </c>
      <c r="H187" s="5" t="s">
        <v>14</v>
      </c>
      <c r="I187" s="9" t="str">
        <f aca="false">IF(ABS(F187-D187*E187)&lt;0.011,"OK","Check")</f>
        <v>OK</v>
      </c>
    </row>
    <row r="188" customFormat="false" ht="19.5" hidden="false" customHeight="true" outlineLevel="0" collapsed="false">
      <c r="A188" s="5" t="s">
        <v>217</v>
      </c>
      <c r="B188" s="6" t="n">
        <v>46189</v>
      </c>
      <c r="C188" s="5" t="s">
        <v>47</v>
      </c>
      <c r="D188" s="7" t="n">
        <v>2</v>
      </c>
      <c r="E188" s="8" t="n">
        <v>221.17</v>
      </c>
      <c r="F188" s="8" t="n">
        <v>442.34</v>
      </c>
      <c r="G188" s="5" t="s">
        <v>26</v>
      </c>
      <c r="H188" s="5" t="s">
        <v>32</v>
      </c>
      <c r="I188" s="9" t="str">
        <f aca="false">IF(ABS(F188-D188*E188)&lt;0.011,"OK","Check")</f>
        <v>OK</v>
      </c>
    </row>
    <row r="189" customFormat="false" ht="19.5" hidden="false" customHeight="true" outlineLevel="0" collapsed="false">
      <c r="A189" s="5" t="s">
        <v>218</v>
      </c>
      <c r="B189" s="6" t="n">
        <v>46119</v>
      </c>
      <c r="C189" s="5" t="s">
        <v>67</v>
      </c>
      <c r="D189" s="7" t="n">
        <v>2</v>
      </c>
      <c r="E189" s="8" t="n">
        <v>67.08</v>
      </c>
      <c r="F189" s="8" t="n">
        <v>134.16</v>
      </c>
      <c r="G189" s="5" t="s">
        <v>23</v>
      </c>
      <c r="H189" s="5" t="s">
        <v>14</v>
      </c>
      <c r="I189" s="9" t="str">
        <f aca="false">IF(ABS(F189-D189*E189)&lt;0.011,"OK","Check")</f>
        <v>OK</v>
      </c>
    </row>
    <row r="190" customFormat="false" ht="19.5" hidden="false" customHeight="true" outlineLevel="0" collapsed="false">
      <c r="A190" s="5" t="s">
        <v>219</v>
      </c>
      <c r="B190" s="6" t="n">
        <v>46057</v>
      </c>
      <c r="C190" s="5" t="s">
        <v>38</v>
      </c>
      <c r="D190" s="7" t="n">
        <v>6</v>
      </c>
      <c r="E190" s="8" t="n">
        <v>33.5</v>
      </c>
      <c r="F190" s="8" t="n">
        <v>201</v>
      </c>
      <c r="G190" s="5" t="s">
        <v>29</v>
      </c>
      <c r="H190" s="5" t="s">
        <v>32</v>
      </c>
      <c r="I190" s="9" t="str">
        <f aca="false">IF(ABS(F190-D190*E190)&lt;0.011,"OK","Check")</f>
        <v>OK</v>
      </c>
    </row>
    <row r="191" customFormat="false" ht="19.5" hidden="false" customHeight="true" outlineLevel="0" collapsed="false">
      <c r="A191" s="5" t="s">
        <v>220</v>
      </c>
      <c r="B191" s="6" t="n">
        <v>46092</v>
      </c>
      <c r="C191" s="5" t="s">
        <v>67</v>
      </c>
      <c r="D191" s="7" t="n">
        <v>5</v>
      </c>
      <c r="E191" s="8" t="n">
        <v>50.2</v>
      </c>
      <c r="F191" s="8" t="n">
        <v>251</v>
      </c>
      <c r="G191" s="5" t="s">
        <v>29</v>
      </c>
      <c r="H191" s="5" t="s">
        <v>43</v>
      </c>
      <c r="I191" s="9" t="str">
        <f aca="false">IF(ABS(F191-D191*E191)&lt;0.011,"OK","Check")</f>
        <v>OK</v>
      </c>
    </row>
    <row r="192" customFormat="false" ht="19.5" hidden="false" customHeight="true" outlineLevel="0" collapsed="false">
      <c r="A192" s="5" t="s">
        <v>221</v>
      </c>
      <c r="B192" s="6" t="n">
        <v>46101</v>
      </c>
      <c r="C192" s="5" t="s">
        <v>16</v>
      </c>
      <c r="D192" s="7" t="n">
        <v>6</v>
      </c>
      <c r="E192" s="8" t="n">
        <v>58.2</v>
      </c>
      <c r="F192" s="8" t="n">
        <v>349.2</v>
      </c>
      <c r="G192" s="5" t="s">
        <v>23</v>
      </c>
      <c r="H192" s="5" t="s">
        <v>20</v>
      </c>
      <c r="I192" s="9" t="str">
        <f aca="false">IF(ABS(F192-D192*E192)&lt;0.011,"OK","Check")</f>
        <v>OK</v>
      </c>
    </row>
    <row r="193" customFormat="false" ht="19.5" hidden="false" customHeight="true" outlineLevel="0" collapsed="false">
      <c r="A193" s="5" t="s">
        <v>222</v>
      </c>
      <c r="B193" s="6" t="n">
        <v>46121</v>
      </c>
      <c r="C193" s="5" t="s">
        <v>16</v>
      </c>
      <c r="D193" s="7" t="n">
        <v>8</v>
      </c>
      <c r="E193" s="8" t="n">
        <v>94.53</v>
      </c>
      <c r="F193" s="8" t="n">
        <v>756.24</v>
      </c>
      <c r="G193" s="5" t="s">
        <v>23</v>
      </c>
      <c r="H193" s="5" t="s">
        <v>39</v>
      </c>
      <c r="I193" s="9" t="str">
        <f aca="false">IF(ABS(F193-D193*E193)&lt;0.011,"OK","Check")</f>
        <v>OK</v>
      </c>
    </row>
    <row r="194" customFormat="false" ht="19.5" hidden="false" customHeight="true" outlineLevel="0" collapsed="false">
      <c r="A194" s="5" t="s">
        <v>223</v>
      </c>
      <c r="B194" s="6" t="n">
        <v>46130</v>
      </c>
      <c r="C194" s="5" t="s">
        <v>34</v>
      </c>
      <c r="D194" s="7" t="n">
        <v>1</v>
      </c>
      <c r="E194" s="8" t="n">
        <v>95.14</v>
      </c>
      <c r="F194" s="8" t="n">
        <v>95.14</v>
      </c>
      <c r="G194" s="5" t="s">
        <v>29</v>
      </c>
      <c r="H194" s="5" t="s">
        <v>20</v>
      </c>
      <c r="I194" s="9" t="str">
        <f aca="false">IF(ABS(F194-D194*E194)&lt;0.011,"OK","Check")</f>
        <v>OK</v>
      </c>
    </row>
    <row r="195" customFormat="false" ht="19.5" hidden="false" customHeight="true" outlineLevel="0" collapsed="false">
      <c r="A195" s="5" t="s">
        <v>224</v>
      </c>
      <c r="B195" s="6" t="n">
        <v>46156</v>
      </c>
      <c r="C195" s="5" t="s">
        <v>42</v>
      </c>
      <c r="D195" s="7" t="n">
        <v>4</v>
      </c>
      <c r="E195" s="8" t="n">
        <v>166.53</v>
      </c>
      <c r="F195" s="8" t="n">
        <v>666.12</v>
      </c>
      <c r="G195" s="5" t="s">
        <v>29</v>
      </c>
      <c r="H195" s="5" t="s">
        <v>39</v>
      </c>
      <c r="I195" s="9" t="str">
        <f aca="false">IF(ABS(F195-D195*E195)&lt;0.011,"OK","Check")</f>
        <v>OK</v>
      </c>
    </row>
    <row r="196" customFormat="false" ht="19.5" hidden="false" customHeight="true" outlineLevel="0" collapsed="false">
      <c r="A196" s="5" t="s">
        <v>225</v>
      </c>
      <c r="B196" s="6" t="n">
        <v>46116</v>
      </c>
      <c r="C196" s="5" t="s">
        <v>22</v>
      </c>
      <c r="D196" s="7" t="n">
        <v>7</v>
      </c>
      <c r="E196" s="8" t="n">
        <v>80.18</v>
      </c>
      <c r="F196" s="8" t="n">
        <v>561.26</v>
      </c>
      <c r="G196" s="5" t="s">
        <v>17</v>
      </c>
      <c r="H196" s="5" t="s">
        <v>24</v>
      </c>
      <c r="I196" s="9" t="str">
        <f aca="false">IF(ABS(F196-D196*E196)&lt;0.011,"OK","Check")</f>
        <v>OK</v>
      </c>
    </row>
    <row r="197" customFormat="false" ht="19.5" hidden="false" customHeight="true" outlineLevel="0" collapsed="false">
      <c r="A197" s="5" t="s">
        <v>226</v>
      </c>
      <c r="B197" s="6" t="n">
        <v>46084</v>
      </c>
      <c r="C197" s="5" t="s">
        <v>28</v>
      </c>
      <c r="D197" s="7" t="n">
        <v>4</v>
      </c>
      <c r="E197" s="8" t="n">
        <v>225.85</v>
      </c>
      <c r="F197" s="8" t="n">
        <v>903.4</v>
      </c>
      <c r="G197" s="5" t="s">
        <v>29</v>
      </c>
      <c r="H197" s="5" t="s">
        <v>20</v>
      </c>
      <c r="I197" s="9" t="str">
        <f aca="false">IF(ABS(F197-D197*E197)&lt;0.011,"OK","Check")</f>
        <v>OK</v>
      </c>
    </row>
    <row r="198" customFormat="false" ht="19.5" hidden="false" customHeight="true" outlineLevel="0" collapsed="false">
      <c r="A198" s="5" t="s">
        <v>227</v>
      </c>
      <c r="B198" s="6" t="n">
        <v>46112</v>
      </c>
      <c r="C198" s="5" t="s">
        <v>31</v>
      </c>
      <c r="D198" s="7" t="n">
        <v>4</v>
      </c>
      <c r="E198" s="8" t="n">
        <v>213.73</v>
      </c>
      <c r="F198" s="8" t="n">
        <v>854.92</v>
      </c>
      <c r="G198" s="5" t="s">
        <v>29</v>
      </c>
      <c r="H198" s="5" t="s">
        <v>24</v>
      </c>
      <c r="I198" s="9" t="str">
        <f aca="false">IF(ABS(F198-D198*E198)&lt;0.011,"OK","Check")</f>
        <v>OK</v>
      </c>
    </row>
    <row r="199" customFormat="false" ht="19.5" hidden="false" customHeight="true" outlineLevel="0" collapsed="false">
      <c r="A199" s="5" t="s">
        <v>228</v>
      </c>
      <c r="B199" s="6" t="n">
        <v>46024</v>
      </c>
      <c r="C199" s="5" t="s">
        <v>22</v>
      </c>
      <c r="D199" s="7" t="n">
        <v>6</v>
      </c>
      <c r="E199" s="8" t="n">
        <v>235.01</v>
      </c>
      <c r="F199" s="8" t="n">
        <v>1410.06</v>
      </c>
      <c r="G199" s="5" t="s">
        <v>13</v>
      </c>
      <c r="H199" s="5" t="s">
        <v>14</v>
      </c>
      <c r="I199" s="9" t="str">
        <f aca="false">IF(ABS(F199-D199*E199)&lt;0.011,"OK","Check")</f>
        <v>OK</v>
      </c>
    </row>
    <row r="200" customFormat="false" ht="19.5" hidden="false" customHeight="true" outlineLevel="0" collapsed="false">
      <c r="A200" s="5" t="s">
        <v>229</v>
      </c>
      <c r="B200" s="6" t="n">
        <v>46048</v>
      </c>
      <c r="C200" s="5" t="s">
        <v>42</v>
      </c>
      <c r="D200" s="7" t="n">
        <v>4</v>
      </c>
      <c r="E200" s="8" t="n">
        <v>177.54</v>
      </c>
      <c r="F200" s="8" t="n">
        <v>710.16</v>
      </c>
      <c r="G200" s="5" t="s">
        <v>26</v>
      </c>
      <c r="H200" s="5" t="s">
        <v>39</v>
      </c>
      <c r="I200" s="9" t="str">
        <f aca="false">IF(ABS(F200-D200*E200)&lt;0.011,"OK","Check")</f>
        <v>OK</v>
      </c>
    </row>
    <row r="201" customFormat="false" ht="19.5" hidden="false" customHeight="true" outlineLevel="0" collapsed="false">
      <c r="A201" s="5" t="s">
        <v>230</v>
      </c>
      <c r="B201" s="6" t="n">
        <v>46024</v>
      </c>
      <c r="C201" s="5" t="s">
        <v>31</v>
      </c>
      <c r="D201" s="7" t="n">
        <v>6</v>
      </c>
      <c r="E201" s="8" t="n">
        <v>210.8</v>
      </c>
      <c r="F201" s="8" t="n">
        <v>1264.8</v>
      </c>
      <c r="G201" s="5" t="s">
        <v>23</v>
      </c>
      <c r="H201" s="5" t="s">
        <v>24</v>
      </c>
      <c r="I201" s="9" t="str">
        <f aca="false">IF(ABS(F201-D201*E201)&lt;0.011,"OK","Check")</f>
        <v>OK</v>
      </c>
    </row>
    <row r="202" customFormat="false" ht="19.5" hidden="false" customHeight="true" outlineLevel="0" collapsed="false">
      <c r="A202" s="5" t="s">
        <v>231</v>
      </c>
      <c r="B202" s="6" t="n">
        <v>46099</v>
      </c>
      <c r="C202" s="5" t="s">
        <v>16</v>
      </c>
      <c r="D202" s="7" t="n">
        <v>1</v>
      </c>
      <c r="E202" s="8" t="n">
        <v>10.1</v>
      </c>
      <c r="F202" s="8" t="n">
        <v>10.1</v>
      </c>
      <c r="G202" s="5" t="s">
        <v>17</v>
      </c>
      <c r="H202" s="5" t="s">
        <v>39</v>
      </c>
      <c r="I202" s="9" t="str">
        <f aca="false">IF(ABS(F202-D202*E202)&lt;0.011,"OK","Check")</f>
        <v>OK</v>
      </c>
    </row>
    <row r="203" customFormat="false" ht="19.5" hidden="false" customHeight="true" outlineLevel="0" collapsed="false">
      <c r="A203" s="5" t="s">
        <v>232</v>
      </c>
      <c r="B203" s="6" t="n">
        <v>46038</v>
      </c>
      <c r="C203" s="5" t="s">
        <v>42</v>
      </c>
      <c r="D203" s="7" t="n">
        <v>8</v>
      </c>
      <c r="E203" s="8" t="n">
        <v>192.08</v>
      </c>
      <c r="F203" s="8" t="n">
        <v>1536.64</v>
      </c>
      <c r="G203" s="5" t="s">
        <v>13</v>
      </c>
      <c r="H203" s="5" t="s">
        <v>32</v>
      </c>
      <c r="I203" s="9" t="str">
        <f aca="false">IF(ABS(F203-D203*E203)&lt;0.011,"OK","Check")</f>
        <v>OK</v>
      </c>
    </row>
    <row r="204" customFormat="false" ht="19.5" hidden="false" customHeight="true" outlineLevel="0" collapsed="false">
      <c r="A204" s="5" t="s">
        <v>233</v>
      </c>
      <c r="B204" s="6" t="n">
        <v>46026</v>
      </c>
      <c r="C204" s="5" t="s">
        <v>31</v>
      </c>
      <c r="D204" s="7" t="n">
        <v>6</v>
      </c>
      <c r="E204" s="8" t="n">
        <v>134.68</v>
      </c>
      <c r="F204" s="8" t="n">
        <v>808.08</v>
      </c>
      <c r="G204" s="5" t="s">
        <v>13</v>
      </c>
      <c r="H204" s="5" t="s">
        <v>39</v>
      </c>
      <c r="I204" s="9" t="str">
        <f aca="false">IF(ABS(F204-D204*E204)&lt;0.011,"OK","Check")</f>
        <v>OK</v>
      </c>
    </row>
    <row r="205" customFormat="false" ht="19.5" hidden="false" customHeight="true" outlineLevel="0" collapsed="false">
      <c r="A205" s="5" t="s">
        <v>234</v>
      </c>
      <c r="B205" s="6" t="n">
        <v>46084</v>
      </c>
      <c r="C205" s="5" t="s">
        <v>47</v>
      </c>
      <c r="D205" s="7" t="n">
        <v>4</v>
      </c>
      <c r="E205" s="8" t="n">
        <v>24.02</v>
      </c>
      <c r="F205" s="8" t="n">
        <v>96.08</v>
      </c>
      <c r="G205" s="5" t="s">
        <v>26</v>
      </c>
      <c r="H205" s="5" t="s">
        <v>43</v>
      </c>
      <c r="I205" s="9" t="str">
        <f aca="false">IF(ABS(F205-D205*E205)&lt;0.011,"OK","Check")</f>
        <v>OK</v>
      </c>
    </row>
    <row r="206" customFormat="false" ht="19.5" hidden="false" customHeight="true" outlineLevel="0" collapsed="false">
      <c r="A206" s="5" t="s">
        <v>235</v>
      </c>
      <c r="B206" s="6" t="n">
        <v>46178</v>
      </c>
      <c r="C206" s="5" t="s">
        <v>36</v>
      </c>
      <c r="D206" s="7" t="n">
        <v>7</v>
      </c>
      <c r="E206" s="8" t="n">
        <v>90.5</v>
      </c>
      <c r="F206" s="8" t="n">
        <v>633.5</v>
      </c>
      <c r="G206" s="5" t="s">
        <v>23</v>
      </c>
      <c r="H206" s="5" t="s">
        <v>20</v>
      </c>
      <c r="I206" s="9" t="str">
        <f aca="false">IF(ABS(F206-D206*E206)&lt;0.011,"OK","Check")</f>
        <v>OK</v>
      </c>
    </row>
    <row r="207" customFormat="false" ht="19.5" hidden="false" customHeight="true" outlineLevel="0" collapsed="false">
      <c r="A207" s="5" t="s">
        <v>236</v>
      </c>
      <c r="B207" s="6" t="n">
        <v>46171</v>
      </c>
      <c r="C207" s="5" t="s">
        <v>34</v>
      </c>
      <c r="D207" s="7" t="n">
        <v>4</v>
      </c>
      <c r="E207" s="8" t="n">
        <v>189.38</v>
      </c>
      <c r="F207" s="8" t="n">
        <v>757.52</v>
      </c>
      <c r="G207" s="5" t="s">
        <v>29</v>
      </c>
      <c r="H207" s="5" t="s">
        <v>32</v>
      </c>
      <c r="I207" s="9" t="str">
        <f aca="false">IF(ABS(F207-D207*E207)&lt;0.011,"OK","Check")</f>
        <v>OK</v>
      </c>
    </row>
    <row r="208" customFormat="false" ht="19.5" hidden="false" customHeight="true" outlineLevel="0" collapsed="false">
      <c r="A208" s="5" t="s">
        <v>237</v>
      </c>
      <c r="B208" s="6" t="n">
        <v>46038</v>
      </c>
      <c r="C208" s="5" t="s">
        <v>16</v>
      </c>
      <c r="D208" s="7" t="n">
        <v>6</v>
      </c>
      <c r="E208" s="8" t="n">
        <v>102.39</v>
      </c>
      <c r="F208" s="8" t="n">
        <v>614.34</v>
      </c>
      <c r="G208" s="5" t="s">
        <v>26</v>
      </c>
      <c r="H208" s="5" t="s">
        <v>39</v>
      </c>
      <c r="I208" s="9" t="str">
        <f aca="false">IF(ABS(F208-D208*E208)&lt;0.011,"OK","Check")</f>
        <v>OK</v>
      </c>
    </row>
    <row r="209" customFormat="false" ht="19.5" hidden="false" customHeight="true" outlineLevel="0" collapsed="false">
      <c r="A209" s="5" t="s">
        <v>238</v>
      </c>
      <c r="B209" s="6" t="n">
        <v>46139</v>
      </c>
      <c r="C209" s="5" t="s">
        <v>34</v>
      </c>
      <c r="D209" s="7" t="n">
        <v>4</v>
      </c>
      <c r="E209" s="8" t="n">
        <v>221.55</v>
      </c>
      <c r="F209" s="8" t="n">
        <v>886.2</v>
      </c>
      <c r="G209" s="5" t="s">
        <v>17</v>
      </c>
      <c r="H209" s="5" t="s">
        <v>43</v>
      </c>
      <c r="I209" s="9" t="str">
        <f aca="false">IF(ABS(F209-D209*E209)&lt;0.011,"OK","Check")</f>
        <v>OK</v>
      </c>
    </row>
    <row r="210" customFormat="false" ht="19.5" hidden="false" customHeight="true" outlineLevel="0" collapsed="false">
      <c r="A210" s="5" t="s">
        <v>239</v>
      </c>
      <c r="B210" s="6" t="n">
        <v>46050</v>
      </c>
      <c r="C210" s="5" t="s">
        <v>16</v>
      </c>
      <c r="D210" s="7" t="n">
        <v>7</v>
      </c>
      <c r="E210" s="8" t="n">
        <v>229.99</v>
      </c>
      <c r="F210" s="8" t="n">
        <v>1609.93</v>
      </c>
      <c r="G210" s="5" t="s">
        <v>17</v>
      </c>
      <c r="H210" s="5" t="s">
        <v>32</v>
      </c>
      <c r="I210" s="9" t="str">
        <f aca="false">IF(ABS(F210-D210*E210)&lt;0.011,"OK","Check")</f>
        <v>OK</v>
      </c>
    </row>
    <row r="211" customFormat="false" ht="19.5" hidden="false" customHeight="true" outlineLevel="0" collapsed="false">
      <c r="A211" s="5" t="s">
        <v>240</v>
      </c>
      <c r="B211" s="6" t="n">
        <v>46142</v>
      </c>
      <c r="C211" s="5" t="s">
        <v>47</v>
      </c>
      <c r="D211" s="7" t="n">
        <v>3</v>
      </c>
      <c r="E211" s="8" t="n">
        <v>107.72</v>
      </c>
      <c r="F211" s="8" t="n">
        <v>323.16</v>
      </c>
      <c r="G211" s="5" t="s">
        <v>13</v>
      </c>
      <c r="H211" s="5" t="s">
        <v>39</v>
      </c>
      <c r="I211" s="9" t="str">
        <f aca="false">IF(ABS(F211-D211*E211)&lt;0.011,"OK","Check")</f>
        <v>OK</v>
      </c>
    </row>
    <row r="212" customFormat="false" ht="19.5" hidden="false" customHeight="true" outlineLevel="0" collapsed="false">
      <c r="A212" s="5" t="s">
        <v>241</v>
      </c>
      <c r="B212" s="6" t="n">
        <v>46051</v>
      </c>
      <c r="C212" s="5" t="s">
        <v>67</v>
      </c>
      <c r="D212" s="7" t="n">
        <v>3</v>
      </c>
      <c r="E212" s="8" t="n">
        <v>25.74</v>
      </c>
      <c r="F212" s="8" t="n">
        <v>77.22</v>
      </c>
      <c r="G212" s="5" t="s">
        <v>23</v>
      </c>
      <c r="H212" s="5" t="s">
        <v>14</v>
      </c>
      <c r="I212" s="9" t="str">
        <f aca="false">IF(ABS(F212-D212*E212)&lt;0.011,"OK","Check")</f>
        <v>OK</v>
      </c>
    </row>
    <row r="213" customFormat="false" ht="19.5" hidden="false" customHeight="true" outlineLevel="0" collapsed="false">
      <c r="A213" s="5" t="s">
        <v>242</v>
      </c>
      <c r="B213" s="6" t="n">
        <v>46120</v>
      </c>
      <c r="C213" s="5" t="s">
        <v>38</v>
      </c>
      <c r="D213" s="7" t="n">
        <v>3</v>
      </c>
      <c r="E213" s="8" t="n">
        <v>165.15</v>
      </c>
      <c r="F213" s="8" t="n">
        <v>495.45</v>
      </c>
      <c r="G213" s="5" t="s">
        <v>23</v>
      </c>
      <c r="H213" s="5" t="s">
        <v>14</v>
      </c>
      <c r="I213" s="9" t="str">
        <f aca="false">IF(ABS(F213-D213*E213)&lt;0.011,"OK","Check")</f>
        <v>OK</v>
      </c>
    </row>
    <row r="214" customFormat="false" ht="19.5" hidden="false" customHeight="true" outlineLevel="0" collapsed="false">
      <c r="A214" s="5" t="s">
        <v>243</v>
      </c>
      <c r="B214" s="6" t="n">
        <v>46053</v>
      </c>
      <c r="C214" s="5" t="s">
        <v>19</v>
      </c>
      <c r="D214" s="7" t="n">
        <v>4</v>
      </c>
      <c r="E214" s="8" t="n">
        <v>192.3</v>
      </c>
      <c r="F214" s="8" t="n">
        <v>769.2</v>
      </c>
      <c r="G214" s="5" t="s">
        <v>23</v>
      </c>
      <c r="H214" s="5" t="s">
        <v>39</v>
      </c>
      <c r="I214" s="9" t="str">
        <f aca="false">IF(ABS(F214-D214*E214)&lt;0.011,"OK","Check")</f>
        <v>OK</v>
      </c>
    </row>
    <row r="215" customFormat="false" ht="19.5" hidden="false" customHeight="true" outlineLevel="0" collapsed="false">
      <c r="A215" s="5" t="s">
        <v>244</v>
      </c>
      <c r="B215" s="6" t="n">
        <v>46156</v>
      </c>
      <c r="C215" s="5" t="s">
        <v>28</v>
      </c>
      <c r="D215" s="7" t="n">
        <v>8</v>
      </c>
      <c r="E215" s="8" t="n">
        <v>222.49</v>
      </c>
      <c r="F215" s="8" t="n">
        <v>1779.92</v>
      </c>
      <c r="G215" s="5" t="s">
        <v>26</v>
      </c>
      <c r="H215" s="5" t="s">
        <v>43</v>
      </c>
      <c r="I215" s="9" t="str">
        <f aca="false">IF(ABS(F215-D215*E215)&lt;0.011,"OK","Check")</f>
        <v>OK</v>
      </c>
    </row>
    <row r="216" customFormat="false" ht="19.5" hidden="false" customHeight="true" outlineLevel="0" collapsed="false">
      <c r="A216" s="5" t="s">
        <v>245</v>
      </c>
      <c r="B216" s="6" t="n">
        <v>46193</v>
      </c>
      <c r="C216" s="5" t="s">
        <v>19</v>
      </c>
      <c r="D216" s="7" t="n">
        <v>4</v>
      </c>
      <c r="E216" s="8" t="n">
        <v>176.62</v>
      </c>
      <c r="F216" s="8" t="n">
        <v>706.48</v>
      </c>
      <c r="G216" s="5" t="s">
        <v>17</v>
      </c>
      <c r="H216" s="5" t="s">
        <v>20</v>
      </c>
      <c r="I216" s="9" t="str">
        <f aca="false">IF(ABS(F216-D216*E216)&lt;0.011,"OK","Check")</f>
        <v>OK</v>
      </c>
    </row>
    <row r="217" customFormat="false" ht="19.5" hidden="false" customHeight="true" outlineLevel="0" collapsed="false">
      <c r="A217" s="5" t="s">
        <v>246</v>
      </c>
      <c r="B217" s="6" t="n">
        <v>46104</v>
      </c>
      <c r="C217" s="5" t="s">
        <v>67</v>
      </c>
      <c r="D217" s="7" t="n">
        <v>4</v>
      </c>
      <c r="E217" s="8" t="n">
        <v>19.88</v>
      </c>
      <c r="F217" s="8" t="n">
        <v>79.52</v>
      </c>
      <c r="G217" s="5" t="s">
        <v>23</v>
      </c>
      <c r="H217" s="5" t="s">
        <v>14</v>
      </c>
      <c r="I217" s="9" t="str">
        <f aca="false">IF(ABS(F217-D217*E217)&lt;0.011,"OK","Check")</f>
        <v>OK</v>
      </c>
    </row>
    <row r="218" customFormat="false" ht="19.5" hidden="false" customHeight="true" outlineLevel="0" collapsed="false">
      <c r="A218" s="5" t="s">
        <v>247</v>
      </c>
      <c r="B218" s="6" t="n">
        <v>46032</v>
      </c>
      <c r="C218" s="5" t="s">
        <v>42</v>
      </c>
      <c r="D218" s="7" t="n">
        <v>6</v>
      </c>
      <c r="E218" s="8" t="n">
        <v>80.46</v>
      </c>
      <c r="F218" s="8" t="n">
        <v>482.76</v>
      </c>
      <c r="G218" s="5" t="s">
        <v>23</v>
      </c>
      <c r="H218" s="5" t="s">
        <v>24</v>
      </c>
      <c r="I218" s="9" t="str">
        <f aca="false">IF(ABS(F218-D218*E218)&lt;0.011,"OK","Check")</f>
        <v>OK</v>
      </c>
    </row>
    <row r="219" customFormat="false" ht="19.5" hidden="false" customHeight="true" outlineLevel="0" collapsed="false">
      <c r="A219" s="5" t="s">
        <v>248</v>
      </c>
      <c r="B219" s="6" t="n">
        <v>46122</v>
      </c>
      <c r="C219" s="5" t="s">
        <v>22</v>
      </c>
      <c r="D219" s="7" t="n">
        <v>8</v>
      </c>
      <c r="E219" s="8" t="n">
        <v>59.83</v>
      </c>
      <c r="F219" s="8" t="n">
        <v>478.64</v>
      </c>
      <c r="G219" s="5" t="s">
        <v>13</v>
      </c>
      <c r="H219" s="5" t="s">
        <v>32</v>
      </c>
      <c r="I219" s="9" t="str">
        <f aca="false">IF(ABS(F219-D219*E219)&lt;0.011,"OK","Check")</f>
        <v>OK</v>
      </c>
    </row>
    <row r="220" customFormat="false" ht="19.5" hidden="false" customHeight="true" outlineLevel="0" collapsed="false">
      <c r="A220" s="5" t="s">
        <v>249</v>
      </c>
      <c r="B220" s="6" t="n">
        <v>46141</v>
      </c>
      <c r="C220" s="5" t="s">
        <v>36</v>
      </c>
      <c r="D220" s="7" t="n">
        <v>6</v>
      </c>
      <c r="E220" s="8" t="n">
        <v>247.09</v>
      </c>
      <c r="F220" s="8" t="n">
        <v>1482.54</v>
      </c>
      <c r="G220" s="5" t="s">
        <v>26</v>
      </c>
      <c r="H220" s="5" t="s">
        <v>32</v>
      </c>
      <c r="I220" s="9" t="str">
        <f aca="false">IF(ABS(F220-D220*E220)&lt;0.011,"OK","Check")</f>
        <v>OK</v>
      </c>
    </row>
    <row r="221" customFormat="false" ht="19.5" hidden="false" customHeight="true" outlineLevel="0" collapsed="false">
      <c r="A221" s="5" t="s">
        <v>250</v>
      </c>
      <c r="B221" s="6" t="n">
        <v>46055</v>
      </c>
      <c r="C221" s="5" t="s">
        <v>36</v>
      </c>
      <c r="D221" s="7" t="n">
        <v>8</v>
      </c>
      <c r="E221" s="8" t="n">
        <v>75.78</v>
      </c>
      <c r="F221" s="8" t="n">
        <v>606.24</v>
      </c>
      <c r="G221" s="5" t="s">
        <v>13</v>
      </c>
      <c r="H221" s="5" t="s">
        <v>32</v>
      </c>
      <c r="I221" s="9" t="str">
        <f aca="false">IF(ABS(F221-D221*E221)&lt;0.011,"OK","Check")</f>
        <v>OK</v>
      </c>
    </row>
    <row r="222" customFormat="false" ht="19.5" hidden="false" customHeight="true" outlineLevel="0" collapsed="false">
      <c r="A222" s="5" t="s">
        <v>251</v>
      </c>
      <c r="B222" s="6" t="n">
        <v>46125</v>
      </c>
      <c r="C222" s="5" t="s">
        <v>16</v>
      </c>
      <c r="D222" s="7" t="n">
        <v>8</v>
      </c>
      <c r="E222" s="8" t="n">
        <v>84.2</v>
      </c>
      <c r="F222" s="8" t="n">
        <v>673.6</v>
      </c>
      <c r="G222" s="5" t="s">
        <v>17</v>
      </c>
      <c r="H222" s="5" t="s">
        <v>43</v>
      </c>
      <c r="I222" s="9" t="str">
        <f aca="false">IF(ABS(F222-D222*E222)&lt;0.011,"OK","Check")</f>
        <v>OK</v>
      </c>
    </row>
    <row r="223" customFormat="false" ht="19.5" hidden="false" customHeight="true" outlineLevel="0" collapsed="false">
      <c r="A223" s="5" t="s">
        <v>252</v>
      </c>
      <c r="B223" s="6" t="n">
        <v>46194</v>
      </c>
      <c r="C223" s="5" t="s">
        <v>34</v>
      </c>
      <c r="D223" s="7" t="n">
        <v>6</v>
      </c>
      <c r="E223" s="8" t="n">
        <v>176.53</v>
      </c>
      <c r="F223" s="8" t="n">
        <v>1059.18</v>
      </c>
      <c r="G223" s="5" t="s">
        <v>23</v>
      </c>
      <c r="H223" s="5" t="s">
        <v>20</v>
      </c>
      <c r="I223" s="9" t="str">
        <f aca="false">IF(ABS(F223-D223*E223)&lt;0.011,"OK","Check")</f>
        <v>OK</v>
      </c>
    </row>
    <row r="224" customFormat="false" ht="19.5" hidden="false" customHeight="true" outlineLevel="0" collapsed="false">
      <c r="A224" s="5" t="s">
        <v>253</v>
      </c>
      <c r="B224" s="6" t="n">
        <v>46137</v>
      </c>
      <c r="C224" s="5" t="s">
        <v>31</v>
      </c>
      <c r="D224" s="7" t="n">
        <v>1</v>
      </c>
      <c r="E224" s="8" t="n">
        <v>41.52</v>
      </c>
      <c r="F224" s="8" t="n">
        <v>41.52</v>
      </c>
      <c r="G224" s="5" t="s">
        <v>26</v>
      </c>
      <c r="H224" s="5" t="s">
        <v>20</v>
      </c>
      <c r="I224" s="9" t="str">
        <f aca="false">IF(ABS(F224-D224*E224)&lt;0.011,"OK","Check")</f>
        <v>OK</v>
      </c>
    </row>
    <row r="225" customFormat="false" ht="19.5" hidden="false" customHeight="true" outlineLevel="0" collapsed="false">
      <c r="A225" s="5" t="s">
        <v>254</v>
      </c>
      <c r="B225" s="6" t="n">
        <v>46192</v>
      </c>
      <c r="C225" s="5" t="s">
        <v>12</v>
      </c>
      <c r="D225" s="7" t="n">
        <v>8</v>
      </c>
      <c r="E225" s="8" t="n">
        <v>170.93</v>
      </c>
      <c r="F225" s="8" t="n">
        <v>1367.44</v>
      </c>
      <c r="G225" s="5" t="s">
        <v>17</v>
      </c>
      <c r="H225" s="5" t="s">
        <v>39</v>
      </c>
      <c r="I225" s="9" t="str">
        <f aca="false">IF(ABS(F225-D225*E225)&lt;0.011,"OK","Check")</f>
        <v>OK</v>
      </c>
    </row>
    <row r="226" customFormat="false" ht="19.5" hidden="false" customHeight="true" outlineLevel="0" collapsed="false">
      <c r="A226" s="5" t="s">
        <v>255</v>
      </c>
      <c r="B226" s="6" t="n">
        <v>46046</v>
      </c>
      <c r="C226" s="5" t="s">
        <v>19</v>
      </c>
      <c r="D226" s="7" t="n">
        <v>6</v>
      </c>
      <c r="E226" s="8" t="n">
        <v>95.04</v>
      </c>
      <c r="F226" s="8" t="n">
        <v>570.24</v>
      </c>
      <c r="G226" s="5" t="s">
        <v>29</v>
      </c>
      <c r="H226" s="5" t="s">
        <v>39</v>
      </c>
      <c r="I226" s="9" t="str">
        <f aca="false">IF(ABS(F226-D226*E226)&lt;0.011,"OK","Check")</f>
        <v>OK</v>
      </c>
    </row>
    <row r="227" customFormat="false" ht="19.5" hidden="false" customHeight="true" outlineLevel="0" collapsed="false">
      <c r="A227" s="5" t="s">
        <v>256</v>
      </c>
      <c r="B227" s="6" t="n">
        <v>46197</v>
      </c>
      <c r="C227" s="5" t="s">
        <v>47</v>
      </c>
      <c r="D227" s="7" t="n">
        <v>5</v>
      </c>
      <c r="E227" s="8" t="n">
        <v>69.34</v>
      </c>
      <c r="F227" s="8" t="n">
        <v>346.7</v>
      </c>
      <c r="G227" s="5" t="s">
        <v>26</v>
      </c>
      <c r="H227" s="5" t="s">
        <v>24</v>
      </c>
      <c r="I227" s="9" t="str">
        <f aca="false">IF(ABS(F227-D227*E227)&lt;0.011,"OK","Check")</f>
        <v>OK</v>
      </c>
    </row>
    <row r="228" customFormat="false" ht="19.5" hidden="false" customHeight="true" outlineLevel="0" collapsed="false">
      <c r="A228" s="5" t="s">
        <v>257</v>
      </c>
      <c r="B228" s="6" t="n">
        <v>46141</v>
      </c>
      <c r="C228" s="5" t="s">
        <v>34</v>
      </c>
      <c r="D228" s="7" t="n">
        <v>6</v>
      </c>
      <c r="E228" s="8" t="n">
        <v>84.34</v>
      </c>
      <c r="F228" s="8" t="n">
        <v>506.04</v>
      </c>
      <c r="G228" s="5" t="s">
        <v>13</v>
      </c>
      <c r="H228" s="5" t="s">
        <v>32</v>
      </c>
      <c r="I228" s="9" t="str">
        <f aca="false">IF(ABS(F228-D228*E228)&lt;0.011,"OK","Check")</f>
        <v>OK</v>
      </c>
    </row>
    <row r="229" customFormat="false" ht="19.5" hidden="false" customHeight="true" outlineLevel="0" collapsed="false">
      <c r="A229" s="5" t="s">
        <v>258</v>
      </c>
      <c r="B229" s="6" t="n">
        <v>46083</v>
      </c>
      <c r="C229" s="5" t="s">
        <v>22</v>
      </c>
      <c r="D229" s="7" t="n">
        <v>7</v>
      </c>
      <c r="E229" s="8" t="n">
        <v>229.31</v>
      </c>
      <c r="F229" s="8" t="n">
        <v>1605.17</v>
      </c>
      <c r="G229" s="5" t="s">
        <v>23</v>
      </c>
      <c r="H229" s="5" t="s">
        <v>20</v>
      </c>
      <c r="I229" s="9" t="str">
        <f aca="false">IF(ABS(F229-D229*E229)&lt;0.011,"OK","Check")</f>
        <v>OK</v>
      </c>
    </row>
    <row r="230" customFormat="false" ht="19.5" hidden="false" customHeight="true" outlineLevel="0" collapsed="false">
      <c r="A230" s="5" t="s">
        <v>259</v>
      </c>
      <c r="B230" s="6" t="n">
        <v>46068</v>
      </c>
      <c r="C230" s="5" t="s">
        <v>19</v>
      </c>
      <c r="D230" s="7" t="n">
        <v>6</v>
      </c>
      <c r="E230" s="8" t="n">
        <v>94.56</v>
      </c>
      <c r="F230" s="8" t="n">
        <v>567.36</v>
      </c>
      <c r="G230" s="5" t="s">
        <v>17</v>
      </c>
      <c r="H230" s="5" t="s">
        <v>32</v>
      </c>
      <c r="I230" s="9" t="str">
        <f aca="false">IF(ABS(F230-D230*E230)&lt;0.011,"OK","Check")</f>
        <v>OK</v>
      </c>
    </row>
    <row r="231" customFormat="false" ht="19.5" hidden="false" customHeight="true" outlineLevel="0" collapsed="false">
      <c r="A231" s="5" t="s">
        <v>260</v>
      </c>
      <c r="B231" s="6" t="n">
        <v>46102</v>
      </c>
      <c r="C231" s="5" t="s">
        <v>67</v>
      </c>
      <c r="D231" s="7" t="n">
        <v>2</v>
      </c>
      <c r="E231" s="8" t="n">
        <v>69.33</v>
      </c>
      <c r="F231" s="8" t="n">
        <v>138.66</v>
      </c>
      <c r="G231" s="5" t="s">
        <v>29</v>
      </c>
      <c r="H231" s="5" t="s">
        <v>32</v>
      </c>
      <c r="I231" s="9" t="str">
        <f aca="false">IF(ABS(F231-D231*E231)&lt;0.011,"OK","Check")</f>
        <v>OK</v>
      </c>
    </row>
    <row r="232" customFormat="false" ht="19.5" hidden="false" customHeight="true" outlineLevel="0" collapsed="false">
      <c r="A232" s="5" t="s">
        <v>261</v>
      </c>
      <c r="B232" s="6" t="n">
        <v>46119</v>
      </c>
      <c r="C232" s="5" t="s">
        <v>67</v>
      </c>
      <c r="D232" s="7" t="n">
        <v>5</v>
      </c>
      <c r="E232" s="8" t="n">
        <v>188.12</v>
      </c>
      <c r="F232" s="8" t="n">
        <v>940.6</v>
      </c>
      <c r="G232" s="5" t="s">
        <v>26</v>
      </c>
      <c r="H232" s="5" t="s">
        <v>39</v>
      </c>
      <c r="I232" s="9" t="str">
        <f aca="false">IF(ABS(F232-D232*E232)&lt;0.011,"OK","Check")</f>
        <v>OK</v>
      </c>
    </row>
    <row r="233" customFormat="false" ht="19.5" hidden="false" customHeight="true" outlineLevel="0" collapsed="false">
      <c r="A233" s="5" t="s">
        <v>262</v>
      </c>
      <c r="B233" s="6" t="n">
        <v>46201</v>
      </c>
      <c r="C233" s="5" t="s">
        <v>38</v>
      </c>
      <c r="D233" s="7" t="n">
        <v>1</v>
      </c>
      <c r="E233" s="8" t="n">
        <v>246.25</v>
      </c>
      <c r="F233" s="8" t="n">
        <v>246.25</v>
      </c>
      <c r="G233" s="5" t="s">
        <v>26</v>
      </c>
      <c r="H233" s="5" t="s">
        <v>39</v>
      </c>
      <c r="I233" s="9" t="str">
        <f aca="false">IF(ABS(F233-D233*E233)&lt;0.011,"OK","Check")</f>
        <v>OK</v>
      </c>
    </row>
    <row r="234" customFormat="false" ht="19.5" hidden="false" customHeight="true" outlineLevel="0" collapsed="false">
      <c r="A234" s="5" t="s">
        <v>263</v>
      </c>
      <c r="B234" s="6" t="n">
        <v>46167</v>
      </c>
      <c r="C234" s="5" t="s">
        <v>22</v>
      </c>
      <c r="D234" s="7" t="n">
        <v>3</v>
      </c>
      <c r="E234" s="8" t="n">
        <v>112.88</v>
      </c>
      <c r="F234" s="8" t="n">
        <v>338.64</v>
      </c>
      <c r="G234" s="5" t="s">
        <v>13</v>
      </c>
      <c r="H234" s="5" t="s">
        <v>39</v>
      </c>
      <c r="I234" s="9" t="str">
        <f aca="false">IF(ABS(F234-D234*E234)&lt;0.011,"OK","Check")</f>
        <v>OK</v>
      </c>
    </row>
    <row r="235" customFormat="false" ht="19.5" hidden="false" customHeight="true" outlineLevel="0" collapsed="false">
      <c r="A235" s="5" t="s">
        <v>264</v>
      </c>
      <c r="B235" s="6" t="n">
        <v>46187</v>
      </c>
      <c r="C235" s="5" t="s">
        <v>28</v>
      </c>
      <c r="D235" s="7" t="n">
        <v>1</v>
      </c>
      <c r="E235" s="8" t="n">
        <v>231.32</v>
      </c>
      <c r="F235" s="8" t="n">
        <v>231.32</v>
      </c>
      <c r="G235" s="5" t="s">
        <v>13</v>
      </c>
      <c r="H235" s="5" t="s">
        <v>20</v>
      </c>
      <c r="I235" s="9" t="str">
        <f aca="false">IF(ABS(F235-D235*E235)&lt;0.011,"OK","Check")</f>
        <v>OK</v>
      </c>
    </row>
    <row r="236" customFormat="false" ht="19.5" hidden="false" customHeight="true" outlineLevel="0" collapsed="false">
      <c r="A236" s="5" t="s">
        <v>265</v>
      </c>
      <c r="B236" s="6" t="n">
        <v>46191</v>
      </c>
      <c r="C236" s="5" t="s">
        <v>19</v>
      </c>
      <c r="D236" s="7" t="n">
        <v>6</v>
      </c>
      <c r="E236" s="8" t="n">
        <v>22.2</v>
      </c>
      <c r="F236" s="8" t="n">
        <v>133.2</v>
      </c>
      <c r="G236" s="5" t="s">
        <v>17</v>
      </c>
      <c r="H236" s="5" t="s">
        <v>32</v>
      </c>
      <c r="I236" s="9" t="str">
        <f aca="false">IF(ABS(F236-D236*E236)&lt;0.011,"OK","Check")</f>
        <v>OK</v>
      </c>
    </row>
    <row r="237" customFormat="false" ht="19.5" hidden="false" customHeight="true" outlineLevel="0" collapsed="false">
      <c r="A237" s="5" t="s">
        <v>266</v>
      </c>
      <c r="B237" s="6" t="n">
        <v>46193</v>
      </c>
      <c r="C237" s="5" t="s">
        <v>47</v>
      </c>
      <c r="D237" s="7" t="n">
        <v>1</v>
      </c>
      <c r="E237" s="8" t="n">
        <v>183.55</v>
      </c>
      <c r="F237" s="8" t="n">
        <v>183.55</v>
      </c>
      <c r="G237" s="5" t="s">
        <v>29</v>
      </c>
      <c r="H237" s="5" t="s">
        <v>24</v>
      </c>
      <c r="I237" s="9" t="str">
        <f aca="false">IF(ABS(F237-D237*E237)&lt;0.011,"OK","Check")</f>
        <v>OK</v>
      </c>
    </row>
    <row r="238" customFormat="false" ht="19.5" hidden="false" customHeight="true" outlineLevel="0" collapsed="false">
      <c r="A238" s="5" t="s">
        <v>267</v>
      </c>
      <c r="B238" s="6" t="n">
        <v>46104</v>
      </c>
      <c r="C238" s="5" t="s">
        <v>38</v>
      </c>
      <c r="D238" s="7" t="n">
        <v>3</v>
      </c>
      <c r="E238" s="8" t="n">
        <v>108.9</v>
      </c>
      <c r="F238" s="8" t="n">
        <v>326.7</v>
      </c>
      <c r="G238" s="5" t="s">
        <v>26</v>
      </c>
      <c r="H238" s="5" t="s">
        <v>14</v>
      </c>
      <c r="I238" s="9" t="str">
        <f aca="false">IF(ABS(F238-D238*E238)&lt;0.011,"OK","Check")</f>
        <v>OK</v>
      </c>
    </row>
    <row r="239" customFormat="false" ht="19.5" hidden="false" customHeight="true" outlineLevel="0" collapsed="false">
      <c r="A239" s="5" t="s">
        <v>268</v>
      </c>
      <c r="B239" s="6" t="n">
        <v>46057</v>
      </c>
      <c r="C239" s="5" t="s">
        <v>47</v>
      </c>
      <c r="D239" s="7" t="n">
        <v>3</v>
      </c>
      <c r="E239" s="8" t="n">
        <v>51.62</v>
      </c>
      <c r="F239" s="8" t="n">
        <v>154.86</v>
      </c>
      <c r="G239" s="5" t="s">
        <v>13</v>
      </c>
      <c r="H239" s="5" t="s">
        <v>20</v>
      </c>
      <c r="I239" s="9" t="str">
        <f aca="false">IF(ABS(F239-D239*E239)&lt;0.011,"OK","Check")</f>
        <v>OK</v>
      </c>
    </row>
    <row r="240" customFormat="false" ht="19.5" hidden="false" customHeight="true" outlineLevel="0" collapsed="false">
      <c r="A240" s="5" t="s">
        <v>269</v>
      </c>
      <c r="B240" s="6" t="n">
        <v>46029</v>
      </c>
      <c r="C240" s="5" t="s">
        <v>38</v>
      </c>
      <c r="D240" s="7" t="n">
        <v>2</v>
      </c>
      <c r="E240" s="8" t="n">
        <v>115.03</v>
      </c>
      <c r="F240" s="8" t="n">
        <v>230.06</v>
      </c>
      <c r="G240" s="5" t="s">
        <v>29</v>
      </c>
      <c r="H240" s="5" t="s">
        <v>43</v>
      </c>
      <c r="I240" s="9" t="str">
        <f aca="false">IF(ABS(F240-D240*E240)&lt;0.011,"OK","Check")</f>
        <v>OK</v>
      </c>
    </row>
    <row r="241" customFormat="false" ht="19.5" hidden="false" customHeight="true" outlineLevel="0" collapsed="false">
      <c r="A241" s="5" t="s">
        <v>270</v>
      </c>
      <c r="B241" s="6" t="n">
        <v>46191</v>
      </c>
      <c r="C241" s="5" t="s">
        <v>31</v>
      </c>
      <c r="D241" s="7" t="n">
        <v>8</v>
      </c>
      <c r="E241" s="8" t="n">
        <v>208.4</v>
      </c>
      <c r="F241" s="8" t="n">
        <v>1667.2</v>
      </c>
      <c r="G241" s="5" t="s">
        <v>13</v>
      </c>
      <c r="H241" s="5" t="s">
        <v>14</v>
      </c>
      <c r="I241" s="9" t="str">
        <f aca="false">IF(ABS(F241-D241*E241)&lt;0.011,"OK","Check")</f>
        <v>OK</v>
      </c>
    </row>
    <row r="242" customFormat="false" ht="19.5" hidden="false" customHeight="true" outlineLevel="0" collapsed="false">
      <c r="A242" s="5" t="s">
        <v>271</v>
      </c>
      <c r="B242" s="6" t="n">
        <v>46167</v>
      </c>
      <c r="C242" s="5" t="s">
        <v>42</v>
      </c>
      <c r="D242" s="7" t="n">
        <v>2</v>
      </c>
      <c r="E242" s="8" t="n">
        <v>137.09</v>
      </c>
      <c r="F242" s="8" t="n">
        <v>274.18</v>
      </c>
      <c r="G242" s="5" t="s">
        <v>23</v>
      </c>
      <c r="H242" s="5" t="s">
        <v>32</v>
      </c>
      <c r="I242" s="9" t="str">
        <f aca="false">IF(ABS(F242-D242*E242)&lt;0.011,"OK","Check")</f>
        <v>OK</v>
      </c>
    </row>
    <row r="243" customFormat="false" ht="19.5" hidden="false" customHeight="true" outlineLevel="0" collapsed="false">
      <c r="A243" s="5" t="s">
        <v>272</v>
      </c>
      <c r="B243" s="6" t="n">
        <v>46157</v>
      </c>
      <c r="C243" s="5" t="s">
        <v>28</v>
      </c>
      <c r="D243" s="7" t="n">
        <v>6</v>
      </c>
      <c r="E243" s="8" t="n">
        <v>163.43</v>
      </c>
      <c r="F243" s="8" t="n">
        <v>980.58</v>
      </c>
      <c r="G243" s="5" t="s">
        <v>17</v>
      </c>
      <c r="H243" s="5" t="s">
        <v>24</v>
      </c>
      <c r="I243" s="9" t="str">
        <f aca="false">IF(ABS(F243-D243*E243)&lt;0.011,"OK","Check")</f>
        <v>OK</v>
      </c>
    </row>
    <row r="244" customFormat="false" ht="19.5" hidden="false" customHeight="true" outlineLevel="0" collapsed="false">
      <c r="A244" s="5" t="s">
        <v>273</v>
      </c>
      <c r="B244" s="6" t="n">
        <v>46116</v>
      </c>
      <c r="C244" s="5" t="s">
        <v>22</v>
      </c>
      <c r="D244" s="7" t="n">
        <v>6</v>
      </c>
      <c r="E244" s="8" t="n">
        <v>160.47</v>
      </c>
      <c r="F244" s="8" t="n">
        <v>962.82</v>
      </c>
      <c r="G244" s="5" t="s">
        <v>26</v>
      </c>
      <c r="H244" s="5" t="s">
        <v>43</v>
      </c>
      <c r="I244" s="9" t="str">
        <f aca="false">IF(ABS(F244-D244*E244)&lt;0.011,"OK","Check")</f>
        <v>OK</v>
      </c>
    </row>
  </sheetData>
  <mergeCells count="2">
    <mergeCell ref="A1:I1"/>
    <mergeCell ref="A2:I2"/>
  </mergeCells>
  <conditionalFormatting sqref="I5:I244">
    <cfRule type="cellIs" priority="2" operator="equal" aboveAverage="0" equalAverage="0" bottom="0" percent="0" rank="0" text="" dxfId="5">
      <formula>"Check"</formula>
    </cfRule>
    <cfRule type="cellIs" priority="3" operator="equal" aboveAverage="0" equalAverage="0" bottom="0" percent="0" rank="0" text="" dxfId="6">
      <formula>"OK"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2"/>
    <col collapsed="false" customWidth="true" hidden="false" outlineLevel="0" max="3" min="3" style="1" width="20"/>
    <col collapsed="false" customWidth="true" hidden="false" outlineLevel="0" max="4" min="4" style="1" width="52"/>
  </cols>
  <sheetData>
    <row r="1" customFormat="false" ht="30" hidden="false" customHeight="true" outlineLevel="0" collapsed="false">
      <c r="A1" s="2" t="s">
        <v>274</v>
      </c>
      <c r="B1" s="2"/>
      <c r="C1" s="2"/>
      <c r="D1" s="2"/>
    </row>
    <row r="2" customFormat="false" ht="30" hidden="false" customHeight="true" outlineLevel="0" collapsed="false">
      <c r="A2" s="3" t="s">
        <v>275</v>
      </c>
      <c r="B2" s="3"/>
      <c r="C2" s="3"/>
      <c r="D2" s="3"/>
    </row>
    <row r="3" customFormat="false" ht="9.75" hidden="false" customHeight="true" outlineLevel="0" collapsed="false"/>
    <row r="4" customFormat="false" ht="24" hidden="false" customHeight="true" outlineLevel="0" collapsed="false">
      <c r="A4" s="10" t="s">
        <v>276</v>
      </c>
      <c r="B4" s="11" t="s">
        <v>277</v>
      </c>
      <c r="C4" s="11" t="s">
        <v>278</v>
      </c>
      <c r="D4" s="10" t="s">
        <v>279</v>
      </c>
    </row>
    <row r="5" customFormat="false" ht="25.5" hidden="false" customHeight="true" outlineLevel="0" collapsed="false">
      <c r="A5" s="12" t="s">
        <v>280</v>
      </c>
      <c r="B5" s="13" t="n">
        <f aca="false">SUM('Cleaned Data'!F5:F244)</f>
        <v>142437.14</v>
      </c>
      <c r="C5" s="14" t="n">
        <v>142437.14</v>
      </c>
      <c r="D5" s="15" t="s">
        <v>281</v>
      </c>
    </row>
    <row r="6" customFormat="false" ht="25.5" hidden="false" customHeight="true" outlineLevel="0" collapsed="false">
      <c r="A6" s="16" t="s">
        <v>282</v>
      </c>
      <c r="B6" s="17" t="n">
        <f aca="false">COUNTA('Cleaned Data'!A5:A244)</f>
        <v>240</v>
      </c>
      <c r="C6" s="18" t="n">
        <v>240</v>
      </c>
      <c r="D6" s="19" t="s">
        <v>283</v>
      </c>
    </row>
    <row r="7" customFormat="false" ht="25.5" hidden="false" customHeight="true" outlineLevel="0" collapsed="false">
      <c r="A7" s="12" t="s">
        <v>284</v>
      </c>
      <c r="B7" s="20" t="n">
        <f aca="false">SUM('Cleaned Data'!D5:D244)</f>
        <v>1108</v>
      </c>
      <c r="C7" s="21" t="n">
        <v>1108</v>
      </c>
      <c r="D7" s="15" t="s">
        <v>285</v>
      </c>
    </row>
    <row r="8" customFormat="false" ht="25.5" hidden="false" customHeight="true" outlineLevel="0" collapsed="false">
      <c r="A8" s="16" t="s">
        <v>286</v>
      </c>
      <c r="B8" s="22" t="n">
        <f aca="false">AVERAGE('Cleaned Data'!F5:F244)</f>
        <v>593.488083333333</v>
      </c>
      <c r="C8" s="23" t="n">
        <v>593.488083333333</v>
      </c>
      <c r="D8" s="19" t="s">
        <v>287</v>
      </c>
    </row>
    <row r="9" customFormat="false" ht="25.5" hidden="false" customHeight="true" outlineLevel="0" collapsed="false">
      <c r="A9" s="12" t="s">
        <v>288</v>
      </c>
      <c r="B9" s="24" t="n">
        <f aca="false">AVERAGE('Cleaned Data'!D5:D244)</f>
        <v>4.61666666666667</v>
      </c>
      <c r="C9" s="25" t="n">
        <v>4.61666666666667</v>
      </c>
      <c r="D9" s="15" t="s">
        <v>289</v>
      </c>
    </row>
    <row r="10" customFormat="false" ht="25.5" hidden="false" customHeight="true" outlineLevel="0" collapsed="false">
      <c r="A10" s="16" t="s">
        <v>290</v>
      </c>
      <c r="B10" s="22" t="n">
        <f aca="false">MAX('Cleaned Data'!F5:F244)</f>
        <v>1779.92</v>
      </c>
      <c r="C10" s="23" t="n">
        <v>1779.92</v>
      </c>
      <c r="D10" s="19" t="s">
        <v>291</v>
      </c>
    </row>
    <row r="11" customFormat="false" ht="25.5" hidden="false" customHeight="true" outlineLevel="0" collapsed="false">
      <c r="A11" s="12" t="s">
        <v>292</v>
      </c>
      <c r="B11" s="13" t="n">
        <f aca="false">MIN('Cleaned Data'!F5:F244)</f>
        <v>10.1</v>
      </c>
      <c r="C11" s="14" t="n">
        <v>10.1</v>
      </c>
      <c r="D11" s="15" t="s">
        <v>293</v>
      </c>
    </row>
    <row r="12" customFormat="false" ht="25.5" hidden="false" customHeight="true" outlineLevel="0" collapsed="false">
      <c r="A12" s="16" t="s">
        <v>294</v>
      </c>
      <c r="B12" s="17" t="n">
        <f aca="false">COUNTA('Summary Tables'!A6:A17)</f>
        <v>12</v>
      </c>
      <c r="C12" s="18" t="n">
        <v>12</v>
      </c>
      <c r="D12" s="19" t="s">
        <v>295</v>
      </c>
    </row>
    <row r="13" customFormat="false" ht="25.5" hidden="false" customHeight="true" outlineLevel="0" collapsed="false">
      <c r="A13" s="12" t="s">
        <v>296</v>
      </c>
      <c r="B13" s="20" t="n">
        <f aca="false">COUNTA('Summary Tables'!F6:F10)</f>
        <v>5</v>
      </c>
      <c r="C13" s="21" t="n">
        <v>5</v>
      </c>
      <c r="D13" s="15" t="s">
        <v>297</v>
      </c>
    </row>
    <row r="14" customFormat="false" ht="25.5" hidden="false" customHeight="true" outlineLevel="0" collapsed="false">
      <c r="A14" s="16" t="s">
        <v>298</v>
      </c>
      <c r="B14" s="17" t="n">
        <f aca="false">COUNTA('Summary Tables'!K6:K11)</f>
        <v>6</v>
      </c>
      <c r="C14" s="18" t="n">
        <v>6</v>
      </c>
      <c r="D14" s="19" t="s">
        <v>299</v>
      </c>
    </row>
    <row r="15" customFormat="false" ht="25.5" hidden="false" customHeight="true" outlineLevel="0" collapsed="false">
      <c r="A15" s="12" t="s">
        <v>300</v>
      </c>
      <c r="B15" s="20" t="n">
        <f aca="false">COUNTBLANK('Cleaned Data'!A5:H244)</f>
        <v>0</v>
      </c>
      <c r="C15" s="21" t="n">
        <v>0</v>
      </c>
      <c r="D15" s="15" t="s">
        <v>301</v>
      </c>
    </row>
    <row r="16" customFormat="false" ht="25.5" hidden="false" customHeight="true" outlineLevel="0" collapsed="false">
      <c r="A16" s="16" t="s">
        <v>302</v>
      </c>
      <c r="B16" s="17" t="n">
        <f aca="false">SUMPRODUCT(--(COUNTIF('Cleaned Data'!A5:A244,'Cleaned Data'!A5:A244)&gt;1))</f>
        <v>0</v>
      </c>
      <c r="C16" s="18" t="n">
        <v>0</v>
      </c>
      <c r="D16" s="19" t="s">
        <v>303</v>
      </c>
    </row>
    <row r="17" customFormat="false" ht="25.5" hidden="false" customHeight="true" outlineLevel="0" collapsed="false">
      <c r="A17" s="12" t="s">
        <v>304</v>
      </c>
      <c r="B17" s="20" t="n">
        <f aca="false">COUNTIF('Cleaned Data'!I5:I244,"Check")</f>
        <v>0</v>
      </c>
      <c r="C17" s="21" t="n">
        <v>0</v>
      </c>
      <c r="D17" s="15" t="s">
        <v>305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O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2"/>
    <col collapsed="false" customWidth="true" hidden="false" outlineLevel="0" max="4" min="4" style="1" width="15"/>
    <col collapsed="false" customWidth="true" hidden="false" outlineLevel="0" max="6" min="5" style="1" width="14"/>
    <col collapsed="false" customWidth="true" hidden="false" outlineLevel="0" max="7" min="7" style="1" width="10"/>
    <col collapsed="false" customWidth="true" hidden="false" outlineLevel="0" max="8" min="8" style="1" width="12"/>
    <col collapsed="false" customWidth="true" hidden="false" outlineLevel="0" max="9" min="9" style="1" width="15"/>
    <col collapsed="false" customWidth="true" hidden="false" outlineLevel="0" max="10" min="10" style="1" width="14"/>
    <col collapsed="false" customWidth="true" hidden="false" outlineLevel="0" max="11" min="11" style="1" width="20"/>
    <col collapsed="false" customWidth="true" hidden="false" outlineLevel="0" max="12" min="12" style="1" width="10"/>
    <col collapsed="false" customWidth="true" hidden="false" outlineLevel="0" max="13" min="13" style="1" width="12"/>
    <col collapsed="false" customWidth="true" hidden="false" outlineLevel="0" max="14" min="14" style="1" width="15"/>
    <col collapsed="false" customWidth="true" hidden="false" outlineLevel="0" max="15" min="15" style="1" width="14"/>
  </cols>
  <sheetData>
    <row r="1" customFormat="false" ht="30" hidden="false" customHeight="true" outlineLevel="0" collapsed="false">
      <c r="A1" s="2" t="s">
        <v>306</v>
      </c>
      <c r="B1" s="2"/>
      <c r="C1" s="2"/>
      <c r="D1" s="2"/>
      <c r="E1" s="2"/>
      <c r="F1" s="2"/>
      <c r="G1" s="2"/>
      <c r="H1" s="2"/>
      <c r="I1" s="2"/>
      <c r="J1" s="2"/>
      <c r="K1" s="2"/>
      <c r="L1" s="2"/>
      <c r="M1" s="2"/>
      <c r="N1" s="2"/>
      <c r="O1" s="2"/>
    </row>
    <row r="2" customFormat="false" ht="30" hidden="false" customHeight="true" outlineLevel="0" collapsed="false">
      <c r="A2" s="3" t="s">
        <v>307</v>
      </c>
      <c r="B2" s="3"/>
      <c r="C2" s="3"/>
      <c r="D2" s="3"/>
      <c r="E2" s="3"/>
      <c r="F2" s="3"/>
      <c r="G2" s="3"/>
      <c r="H2" s="3"/>
      <c r="I2" s="3"/>
      <c r="J2" s="3"/>
      <c r="K2" s="3"/>
      <c r="L2" s="3"/>
      <c r="M2" s="3"/>
      <c r="N2" s="3"/>
      <c r="O2" s="3"/>
    </row>
    <row r="3" customFormat="false" ht="9.75" hidden="false" customHeight="true" outlineLevel="0" collapsed="false"/>
    <row r="4" customFormat="false" ht="21.75" hidden="false" customHeight="true" outlineLevel="0" collapsed="false">
      <c r="A4" s="26" t="s">
        <v>308</v>
      </c>
      <c r="B4" s="26"/>
      <c r="C4" s="26"/>
      <c r="D4" s="26"/>
      <c r="E4" s="26"/>
      <c r="F4" s="27" t="s">
        <v>309</v>
      </c>
      <c r="G4" s="26"/>
      <c r="H4" s="26"/>
      <c r="I4" s="26"/>
      <c r="J4" s="26"/>
      <c r="K4" s="27" t="s">
        <v>310</v>
      </c>
      <c r="L4" s="26"/>
      <c r="M4" s="26"/>
      <c r="N4" s="26"/>
      <c r="O4" s="26"/>
    </row>
    <row r="5" customFormat="false" ht="24" hidden="false" customHeight="true" outlineLevel="0" collapsed="false">
      <c r="A5" s="10" t="s">
        <v>4</v>
      </c>
      <c r="B5" s="4" t="s">
        <v>311</v>
      </c>
      <c r="C5" s="4" t="s">
        <v>284</v>
      </c>
      <c r="D5" s="4" t="s">
        <v>312</v>
      </c>
      <c r="E5" s="4" t="s">
        <v>313</v>
      </c>
      <c r="F5" s="28" t="s">
        <v>8</v>
      </c>
      <c r="G5" s="4" t="s">
        <v>311</v>
      </c>
      <c r="H5" s="4" t="s">
        <v>284</v>
      </c>
      <c r="I5" s="4" t="s">
        <v>312</v>
      </c>
      <c r="J5" s="4" t="s">
        <v>313</v>
      </c>
      <c r="K5" s="28" t="s">
        <v>9</v>
      </c>
      <c r="L5" s="4" t="s">
        <v>311</v>
      </c>
      <c r="M5" s="4" t="s">
        <v>284</v>
      </c>
      <c r="N5" s="4" t="s">
        <v>312</v>
      </c>
      <c r="O5" s="4" t="s">
        <v>313</v>
      </c>
    </row>
    <row r="6" customFormat="false" ht="21.75" hidden="false" customHeight="true" outlineLevel="0" collapsed="false">
      <c r="A6" s="5" t="s">
        <v>36</v>
      </c>
      <c r="B6" s="7" t="n">
        <v>24</v>
      </c>
      <c r="C6" s="7" t="n">
        <v>133</v>
      </c>
      <c r="D6" s="29" t="n">
        <v>18713.9</v>
      </c>
      <c r="E6" s="30" t="n">
        <f aca="false">D6/Calculations!$C$5</f>
        <v>0.131383570324425</v>
      </c>
      <c r="F6" s="31" t="s">
        <v>26</v>
      </c>
      <c r="G6" s="7" t="n">
        <v>50</v>
      </c>
      <c r="H6" s="7" t="n">
        <v>215</v>
      </c>
      <c r="I6" s="29" t="n">
        <v>30787.94</v>
      </c>
      <c r="J6" s="30" t="n">
        <f aca="false">I6/Calculations!$C$5</f>
        <v>0.216151068464306</v>
      </c>
      <c r="K6" s="31" t="s">
        <v>39</v>
      </c>
      <c r="L6" s="7" t="n">
        <v>45</v>
      </c>
      <c r="M6" s="7" t="n">
        <v>218</v>
      </c>
      <c r="N6" s="29" t="n">
        <v>28195.51</v>
      </c>
      <c r="O6" s="30" t="n">
        <f aca="false">N6/Calculations!$C$5</f>
        <v>0.197950548571812</v>
      </c>
    </row>
    <row r="7" customFormat="false" ht="21.75" hidden="false" customHeight="true" outlineLevel="0" collapsed="false">
      <c r="A7" s="32" t="s">
        <v>22</v>
      </c>
      <c r="B7" s="33" t="n">
        <v>28</v>
      </c>
      <c r="C7" s="33" t="n">
        <v>122</v>
      </c>
      <c r="D7" s="34" t="n">
        <v>16809.84</v>
      </c>
      <c r="E7" s="35" t="n">
        <f aca="false">D7/Calculations!$C$5</f>
        <v>0.118015848956248</v>
      </c>
      <c r="F7" s="36" t="s">
        <v>17</v>
      </c>
      <c r="G7" s="33" t="n">
        <v>42</v>
      </c>
      <c r="H7" s="33" t="n">
        <v>230</v>
      </c>
      <c r="I7" s="34" t="n">
        <v>30083.51</v>
      </c>
      <c r="J7" s="35" t="n">
        <f aca="false">I7/Calculations!$C$5</f>
        <v>0.211205518448348</v>
      </c>
      <c r="K7" s="36" t="s">
        <v>14</v>
      </c>
      <c r="L7" s="33" t="n">
        <v>46</v>
      </c>
      <c r="M7" s="33" t="n">
        <v>202</v>
      </c>
      <c r="N7" s="34" t="n">
        <v>24885.19</v>
      </c>
      <c r="O7" s="35" t="n">
        <f aca="false">N7/Calculations!$C$5</f>
        <v>0.174709980837863</v>
      </c>
    </row>
    <row r="8" customFormat="false" ht="21.75" hidden="false" customHeight="true" outlineLevel="0" collapsed="false">
      <c r="A8" s="5" t="s">
        <v>31</v>
      </c>
      <c r="B8" s="7" t="n">
        <v>24</v>
      </c>
      <c r="C8" s="7" t="n">
        <v>113</v>
      </c>
      <c r="D8" s="29" t="n">
        <v>16142.37</v>
      </c>
      <c r="E8" s="30" t="n">
        <f aca="false">D8/Calculations!$C$5</f>
        <v>0.113329781825162</v>
      </c>
      <c r="F8" s="31" t="s">
        <v>13</v>
      </c>
      <c r="G8" s="7" t="n">
        <v>46</v>
      </c>
      <c r="H8" s="7" t="n">
        <v>225</v>
      </c>
      <c r="I8" s="29" t="n">
        <v>28925</v>
      </c>
      <c r="J8" s="30" t="n">
        <f aca="false">I8/Calculations!$C$5</f>
        <v>0.20307203584683</v>
      </c>
      <c r="K8" s="31" t="s">
        <v>32</v>
      </c>
      <c r="L8" s="7" t="n">
        <v>38</v>
      </c>
      <c r="M8" s="7" t="n">
        <v>183</v>
      </c>
      <c r="N8" s="29" t="n">
        <v>24112.18</v>
      </c>
      <c r="O8" s="30" t="n">
        <f aca="false">N8/Calculations!$C$5</f>
        <v>0.169282955274165</v>
      </c>
    </row>
    <row r="9" customFormat="false" ht="21.75" hidden="false" customHeight="true" outlineLevel="0" collapsed="false">
      <c r="A9" s="32" t="s">
        <v>42</v>
      </c>
      <c r="B9" s="33" t="n">
        <v>22</v>
      </c>
      <c r="C9" s="33" t="n">
        <v>102</v>
      </c>
      <c r="D9" s="34" t="n">
        <v>14290.77</v>
      </c>
      <c r="E9" s="35" t="n">
        <f aca="false">D9/Calculations!$C$5</f>
        <v>0.100330363274635</v>
      </c>
      <c r="F9" s="36" t="s">
        <v>23</v>
      </c>
      <c r="G9" s="33" t="n">
        <v>52</v>
      </c>
      <c r="H9" s="33" t="n">
        <v>214</v>
      </c>
      <c r="I9" s="34" t="n">
        <v>26485.82</v>
      </c>
      <c r="J9" s="35" t="n">
        <f aca="false">I9/Calculations!$C$5</f>
        <v>0.185947429160681</v>
      </c>
      <c r="K9" s="36" t="s">
        <v>24</v>
      </c>
      <c r="L9" s="33" t="n">
        <v>35</v>
      </c>
      <c r="M9" s="33" t="n">
        <v>168</v>
      </c>
      <c r="N9" s="34" t="n">
        <v>22989.34</v>
      </c>
      <c r="O9" s="35" t="n">
        <f aca="false">N9/Calculations!$C$5</f>
        <v>0.161399898930855</v>
      </c>
    </row>
    <row r="10" customFormat="false" ht="21.75" hidden="false" customHeight="true" outlineLevel="0" collapsed="false">
      <c r="A10" s="5" t="s">
        <v>47</v>
      </c>
      <c r="B10" s="7" t="n">
        <v>20</v>
      </c>
      <c r="C10" s="7" t="n">
        <v>97</v>
      </c>
      <c r="D10" s="29" t="n">
        <v>12103.9</v>
      </c>
      <c r="E10" s="30" t="n">
        <f aca="false">D10/Calculations!$C$5</f>
        <v>0.0849771344748989</v>
      </c>
      <c r="F10" s="31" t="s">
        <v>29</v>
      </c>
      <c r="G10" s="7" t="n">
        <v>50</v>
      </c>
      <c r="H10" s="7" t="n">
        <v>224</v>
      </c>
      <c r="I10" s="29" t="n">
        <v>26154.87</v>
      </c>
      <c r="J10" s="30" t="n">
        <f aca="false">I10/Calculations!$C$5</f>
        <v>0.183623948079834</v>
      </c>
      <c r="K10" s="31" t="s">
        <v>20</v>
      </c>
      <c r="L10" s="7" t="n">
        <v>40</v>
      </c>
      <c r="M10" s="7" t="n">
        <v>164</v>
      </c>
      <c r="N10" s="29" t="n">
        <v>21737.26</v>
      </c>
      <c r="O10" s="30" t="n">
        <f aca="false">N10/Calculations!$C$5</f>
        <v>0.152609494967394</v>
      </c>
    </row>
    <row r="11" customFormat="false" ht="21.75" hidden="false" customHeight="true" outlineLevel="0" collapsed="false">
      <c r="A11" s="32" t="s">
        <v>34</v>
      </c>
      <c r="B11" s="33" t="n">
        <v>18</v>
      </c>
      <c r="C11" s="33" t="n">
        <v>79</v>
      </c>
      <c r="D11" s="34" t="n">
        <v>10674.32</v>
      </c>
      <c r="E11" s="35" t="n">
        <f aca="false">D11/Calculations!$C$5</f>
        <v>0.0749405667651007</v>
      </c>
      <c r="K11" s="36" t="s">
        <v>43</v>
      </c>
      <c r="L11" s="33" t="n">
        <v>36</v>
      </c>
      <c r="M11" s="33" t="n">
        <v>173</v>
      </c>
      <c r="N11" s="34" t="n">
        <v>20517.66</v>
      </c>
      <c r="O11" s="35" t="n">
        <f aca="false">N11/Calculations!$C$5</f>
        <v>0.144047121417911</v>
      </c>
    </row>
    <row r="12" customFormat="false" ht="21.75" hidden="false" customHeight="true" outlineLevel="0" collapsed="false">
      <c r="A12" s="5" t="s">
        <v>38</v>
      </c>
      <c r="B12" s="7" t="n">
        <v>24</v>
      </c>
      <c r="C12" s="7" t="n">
        <v>98</v>
      </c>
      <c r="D12" s="29" t="n">
        <v>10624.93</v>
      </c>
      <c r="E12" s="30" t="n">
        <f aca="false">D12/Calculations!$C$5</f>
        <v>0.0745938173147818</v>
      </c>
    </row>
    <row r="13" customFormat="false" ht="21.75" hidden="false" customHeight="true" outlineLevel="0" collapsed="false">
      <c r="A13" s="32" t="s">
        <v>28</v>
      </c>
      <c r="B13" s="33" t="n">
        <v>15</v>
      </c>
      <c r="C13" s="33" t="n">
        <v>71</v>
      </c>
      <c r="D13" s="34" t="n">
        <v>10445.8</v>
      </c>
      <c r="E13" s="35" t="n">
        <f aca="false">D13/Calculations!$C$5</f>
        <v>0.0733362099239005</v>
      </c>
    </row>
    <row r="14" customFormat="false" ht="21.75" hidden="false" customHeight="true" outlineLevel="0" collapsed="false">
      <c r="A14" s="5" t="s">
        <v>12</v>
      </c>
      <c r="B14" s="7" t="n">
        <v>15</v>
      </c>
      <c r="C14" s="7" t="n">
        <v>75</v>
      </c>
      <c r="D14" s="29" t="n">
        <v>9513.33</v>
      </c>
      <c r="E14" s="30" t="n">
        <f aca="false">D14/Calculations!$C$5</f>
        <v>0.066789672974338</v>
      </c>
    </row>
    <row r="15" customFormat="false" ht="21.75" hidden="false" customHeight="true" outlineLevel="0" collapsed="false">
      <c r="A15" s="32" t="s">
        <v>67</v>
      </c>
      <c r="B15" s="33" t="n">
        <v>18</v>
      </c>
      <c r="C15" s="33" t="n">
        <v>76</v>
      </c>
      <c r="D15" s="34" t="n">
        <v>8509.33</v>
      </c>
      <c r="E15" s="35" t="n">
        <f aca="false">D15/Calculations!$C$5</f>
        <v>0.0597409495866036</v>
      </c>
    </row>
    <row r="16" customFormat="false" ht="21.75" hidden="false" customHeight="true" outlineLevel="0" collapsed="false">
      <c r="A16" s="5" t="s">
        <v>16</v>
      </c>
      <c r="B16" s="7" t="n">
        <v>16</v>
      </c>
      <c r="C16" s="7" t="n">
        <v>77</v>
      </c>
      <c r="D16" s="29" t="n">
        <v>8082.1</v>
      </c>
      <c r="E16" s="30" t="n">
        <f aca="false">D16/Calculations!$C$5</f>
        <v>0.0567415212071795</v>
      </c>
    </row>
    <row r="17" customFormat="false" ht="21.75" hidden="false" customHeight="true" outlineLevel="0" collapsed="false">
      <c r="A17" s="32" t="s">
        <v>19</v>
      </c>
      <c r="B17" s="33" t="n">
        <v>16</v>
      </c>
      <c r="C17" s="33" t="n">
        <v>65</v>
      </c>
      <c r="D17" s="34" t="n">
        <v>6526.55</v>
      </c>
      <c r="E17" s="35" t="n">
        <f aca="false">D17/Calculations!$C$5</f>
        <v>0.0458205633727271</v>
      </c>
    </row>
    <row r="21" customFormat="false" ht="13.5" hidden="false" customHeight="true" outlineLevel="0" collapsed="false"/>
    <row r="22" customFormat="false" ht="21.75" hidden="false" customHeight="true" outlineLevel="0" collapsed="false">
      <c r="A22" s="37" t="s">
        <v>314</v>
      </c>
      <c r="B22" s="37"/>
      <c r="C22" s="37"/>
      <c r="D22" s="37"/>
      <c r="E22" s="37"/>
    </row>
    <row r="23" customFormat="false" ht="30" hidden="false" customHeight="true" outlineLevel="0" collapsed="false">
      <c r="A23" s="10" t="s">
        <v>315</v>
      </c>
      <c r="B23" s="4" t="s">
        <v>311</v>
      </c>
      <c r="C23" s="4" t="s">
        <v>284</v>
      </c>
      <c r="D23" s="4" t="s">
        <v>312</v>
      </c>
      <c r="E23" s="4" t="s">
        <v>316</v>
      </c>
    </row>
    <row r="24" customFormat="false" ht="21.75" hidden="false" customHeight="true" outlineLevel="0" collapsed="false">
      <c r="A24" s="38" t="n">
        <v>46023</v>
      </c>
      <c r="B24" s="7" t="n">
        <v>40</v>
      </c>
      <c r="C24" s="7" t="n">
        <v>184</v>
      </c>
      <c r="D24" s="39" t="n">
        <v>24177.45</v>
      </c>
      <c r="E24" s="40" t="s">
        <v>317</v>
      </c>
    </row>
    <row r="25" customFormat="false" ht="21.75" hidden="false" customHeight="true" outlineLevel="0" collapsed="false">
      <c r="A25" s="41" t="n">
        <v>46054</v>
      </c>
      <c r="B25" s="33" t="n">
        <v>29</v>
      </c>
      <c r="C25" s="33" t="n">
        <v>126</v>
      </c>
      <c r="D25" s="42" t="n">
        <v>13788.89</v>
      </c>
      <c r="E25" s="43" t="n">
        <f aca="false">D25/D24-1</f>
        <v>-0.429679722220499</v>
      </c>
    </row>
    <row r="26" customFormat="false" ht="21.75" hidden="false" customHeight="true" outlineLevel="0" collapsed="false">
      <c r="A26" s="38" t="n">
        <v>46082</v>
      </c>
      <c r="B26" s="7" t="n">
        <v>39</v>
      </c>
      <c r="C26" s="7" t="n">
        <v>170</v>
      </c>
      <c r="D26" s="39" t="n">
        <v>19390.28</v>
      </c>
      <c r="E26" s="44" t="n">
        <f aca="false">D26/D25-1</f>
        <v>0.406224866541107</v>
      </c>
    </row>
    <row r="27" customFormat="false" ht="21.75" hidden="false" customHeight="true" outlineLevel="0" collapsed="false">
      <c r="A27" s="41" t="n">
        <v>46113</v>
      </c>
      <c r="B27" s="33" t="n">
        <v>43</v>
      </c>
      <c r="C27" s="33" t="n">
        <v>203</v>
      </c>
      <c r="D27" s="42" t="n">
        <v>23471.38</v>
      </c>
      <c r="E27" s="43" t="n">
        <f aca="false">D27/D26-1</f>
        <v>0.210471432078341</v>
      </c>
    </row>
    <row r="28" customFormat="false" ht="21.75" hidden="false" customHeight="true" outlineLevel="0" collapsed="false">
      <c r="A28" s="38" t="n">
        <v>46143</v>
      </c>
      <c r="B28" s="7" t="n">
        <v>39</v>
      </c>
      <c r="C28" s="7" t="n">
        <v>188</v>
      </c>
      <c r="D28" s="39" t="n">
        <v>24885.97</v>
      </c>
      <c r="E28" s="44" t="n">
        <f aca="false">D28/D27-1</f>
        <v>0.0602687187545001</v>
      </c>
    </row>
    <row r="29" customFormat="false" ht="21.75" hidden="false" customHeight="true" outlineLevel="0" collapsed="false">
      <c r="A29" s="41" t="n">
        <v>46174</v>
      </c>
      <c r="B29" s="33" t="n">
        <v>50</v>
      </c>
      <c r="C29" s="33" t="n">
        <v>237</v>
      </c>
      <c r="D29" s="42" t="n">
        <v>36723.17</v>
      </c>
      <c r="E29" s="43" t="n">
        <f aca="false">D29/D28-1</f>
        <v>0.475657569305114</v>
      </c>
    </row>
  </sheetData>
  <mergeCells count="3">
    <mergeCell ref="A1:O1"/>
    <mergeCell ref="A2:O2"/>
    <mergeCell ref="A22:E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R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1" width="9.52"/>
  </cols>
  <sheetData>
    <row r="1" customFormat="false" ht="30" hidden="false" customHeight="true" outlineLevel="0" collapsed="false">
      <c r="A1" s="2" t="s">
        <v>318</v>
      </c>
      <c r="B1" s="2"/>
      <c r="C1" s="2"/>
      <c r="D1" s="2"/>
      <c r="E1" s="2"/>
      <c r="F1" s="2"/>
      <c r="G1" s="2"/>
      <c r="H1" s="2"/>
      <c r="I1" s="2"/>
      <c r="J1" s="2"/>
      <c r="K1" s="2"/>
      <c r="L1" s="2"/>
      <c r="M1" s="2"/>
      <c r="N1" s="2"/>
      <c r="O1" s="45"/>
      <c r="P1" s="45"/>
      <c r="Q1" s="45"/>
      <c r="R1" s="45"/>
    </row>
    <row r="2" customFormat="false" ht="30" hidden="false" customHeight="true" outlineLevel="0" collapsed="false">
      <c r="A2" s="3" t="s">
        <v>319</v>
      </c>
      <c r="B2" s="3"/>
      <c r="C2" s="3"/>
      <c r="D2" s="3"/>
      <c r="E2" s="3"/>
      <c r="F2" s="3"/>
      <c r="G2" s="3"/>
      <c r="H2" s="3"/>
      <c r="I2" s="3"/>
      <c r="J2" s="3"/>
      <c r="K2" s="3"/>
      <c r="L2" s="3"/>
      <c r="M2" s="3"/>
      <c r="N2" s="3"/>
      <c r="O2" s="46"/>
      <c r="P2" s="46"/>
      <c r="Q2" s="46"/>
      <c r="R2" s="46"/>
    </row>
    <row r="3" customFormat="false" ht="9.75" hidden="false" customHeight="true" outlineLevel="0" collapsed="false"/>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4" min="3" style="1" width="30"/>
  </cols>
  <sheetData>
    <row r="1" customFormat="false" ht="30" hidden="false" customHeight="true" outlineLevel="0" collapsed="false">
      <c r="A1" s="2" t="s">
        <v>320</v>
      </c>
      <c r="B1" s="2"/>
      <c r="C1" s="2"/>
      <c r="D1" s="2"/>
    </row>
    <row r="2" customFormat="false" ht="30" hidden="false" customHeight="true" outlineLevel="0" collapsed="false">
      <c r="A2" s="3" t="s">
        <v>321</v>
      </c>
      <c r="B2" s="3"/>
      <c r="C2" s="3"/>
      <c r="D2" s="3"/>
    </row>
    <row r="3" customFormat="false" ht="9.75" hidden="false" customHeight="true" outlineLevel="0" collapsed="false"/>
    <row r="4" customFormat="false" ht="45.75" hidden="false" customHeight="true" outlineLevel="0" collapsed="false">
      <c r="A4" s="47" t="s">
        <v>322</v>
      </c>
      <c r="B4" s="48" t="s">
        <v>323</v>
      </c>
      <c r="C4" s="48"/>
      <c r="D4" s="48"/>
    </row>
    <row r="5" customFormat="false" ht="45.75" hidden="false" customHeight="true" outlineLevel="0" collapsed="false">
      <c r="A5" s="47" t="s">
        <v>324</v>
      </c>
      <c r="B5" s="48" t="s">
        <v>325</v>
      </c>
      <c r="C5" s="48"/>
      <c r="D5" s="48"/>
    </row>
    <row r="6" customFormat="false" ht="45.75" hidden="false" customHeight="true" outlineLevel="0" collapsed="false">
      <c r="A6" s="47" t="s">
        <v>326</v>
      </c>
      <c r="B6" s="48" t="s">
        <v>327</v>
      </c>
      <c r="C6" s="48"/>
      <c r="D6" s="48"/>
    </row>
    <row r="7" customFormat="false" ht="45.75" hidden="false" customHeight="true" outlineLevel="0" collapsed="false">
      <c r="A7" s="47" t="s">
        <v>328</v>
      </c>
      <c r="B7" s="48" t="s">
        <v>329</v>
      </c>
      <c r="C7" s="48"/>
      <c r="D7" s="48"/>
    </row>
    <row r="8" customFormat="false" ht="45.75" hidden="false" customHeight="true" outlineLevel="0" collapsed="false">
      <c r="A8" s="47" t="s">
        <v>330</v>
      </c>
      <c r="B8" s="48" t="s">
        <v>331</v>
      </c>
      <c r="C8" s="48"/>
      <c r="D8" s="48"/>
    </row>
    <row r="9" customFormat="false" ht="45.75" hidden="false" customHeight="true" outlineLevel="0" collapsed="false">
      <c r="A9" s="47" t="s">
        <v>332</v>
      </c>
      <c r="B9" s="48" t="s">
        <v>333</v>
      </c>
      <c r="C9" s="48"/>
      <c r="D9" s="48"/>
    </row>
    <row r="10" customFormat="false" ht="45.75" hidden="false" customHeight="true" outlineLevel="0" collapsed="false">
      <c r="A10" s="47" t="s">
        <v>334</v>
      </c>
      <c r="B10" s="48" t="s">
        <v>335</v>
      </c>
      <c r="C10" s="48"/>
      <c r="D10" s="48"/>
    </row>
    <row r="11" customFormat="false" ht="45.75" hidden="false" customHeight="true" outlineLevel="0" collapsed="false">
      <c r="A11" s="47" t="s">
        <v>336</v>
      </c>
      <c r="B11" s="48" t="s">
        <v>337</v>
      </c>
      <c r="C11" s="48"/>
      <c r="D11" s="48"/>
    </row>
  </sheetData>
  <mergeCells count="10">
    <mergeCell ref="A1:D1"/>
    <mergeCell ref="A2:D2"/>
    <mergeCell ref="B4:D4"/>
    <mergeCell ref="B5:D5"/>
    <mergeCell ref="B6:D6"/>
    <mergeCell ref="B7:D7"/>
    <mergeCell ref="B8:D8"/>
    <mergeCell ref="B9:D9"/>
    <mergeCell ref="B10:D10"/>
    <mergeCell ref="B11:D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6"/>
    <col collapsed="false" customWidth="true" hidden="false" outlineLevel="0" max="3" min="3" style="1" width="80"/>
  </cols>
  <sheetData>
    <row r="1" customFormat="false" ht="30" hidden="false" customHeight="true" outlineLevel="0" collapsed="false">
      <c r="A1" s="2" t="s">
        <v>338</v>
      </c>
      <c r="B1" s="2"/>
      <c r="C1" s="2"/>
    </row>
    <row r="2" customFormat="false" ht="30" hidden="false" customHeight="true" outlineLevel="0" collapsed="false">
      <c r="A2" s="3" t="s">
        <v>339</v>
      </c>
      <c r="B2" s="3"/>
      <c r="C2" s="3"/>
    </row>
    <row r="3" customFormat="false" ht="9.75" hidden="false" customHeight="true" outlineLevel="0" collapsed="false"/>
    <row r="4" customFormat="false" ht="24" hidden="false" customHeight="true" outlineLevel="0" collapsed="false">
      <c r="A4" s="4" t="s">
        <v>340</v>
      </c>
      <c r="B4" s="10" t="s">
        <v>341</v>
      </c>
      <c r="C4" s="10" t="s">
        <v>342</v>
      </c>
    </row>
    <row r="5" customFormat="false" ht="48" hidden="false" customHeight="true" outlineLevel="0" collapsed="false">
      <c r="A5" s="49" t="s">
        <v>343</v>
      </c>
      <c r="B5" s="50" t="s">
        <v>344</v>
      </c>
      <c r="C5" s="48" t="s">
        <v>345</v>
      </c>
    </row>
    <row r="6" customFormat="false" ht="48" hidden="false" customHeight="true" outlineLevel="0" collapsed="false">
      <c r="A6" s="49" t="s">
        <v>343</v>
      </c>
      <c r="B6" s="50" t="s">
        <v>346</v>
      </c>
      <c r="C6" s="48" t="s">
        <v>347</v>
      </c>
    </row>
    <row r="7" customFormat="false" ht="48" hidden="false" customHeight="true" outlineLevel="0" collapsed="false">
      <c r="A7" s="51" t="s">
        <v>348</v>
      </c>
      <c r="B7" s="50" t="s">
        <v>349</v>
      </c>
      <c r="C7" s="48" t="s">
        <v>350</v>
      </c>
    </row>
    <row r="8" customFormat="false" ht="48" hidden="false" customHeight="true" outlineLevel="0" collapsed="false">
      <c r="A8" s="51" t="s">
        <v>348</v>
      </c>
      <c r="B8" s="50" t="s">
        <v>351</v>
      </c>
      <c r="C8" s="48" t="s">
        <v>352</v>
      </c>
    </row>
    <row r="9" customFormat="false" ht="48" hidden="false" customHeight="true" outlineLevel="0" collapsed="false">
      <c r="A9" s="51" t="s">
        <v>348</v>
      </c>
      <c r="B9" s="50" t="s">
        <v>353</v>
      </c>
      <c r="C9" s="48" t="s">
        <v>354</v>
      </c>
    </row>
    <row r="10" customFormat="false" ht="48" hidden="false" customHeight="true" outlineLevel="0" collapsed="false">
      <c r="A10" s="51" t="s">
        <v>348</v>
      </c>
      <c r="B10" s="50" t="s">
        <v>355</v>
      </c>
      <c r="C10" s="48" t="s">
        <v>356</v>
      </c>
    </row>
    <row r="11" customFormat="false" ht="48" hidden="false" customHeight="true" outlineLevel="0" collapsed="false">
      <c r="A11" s="52" t="s">
        <v>357</v>
      </c>
      <c r="B11" s="50" t="s">
        <v>358</v>
      </c>
      <c r="C11" s="48" t="s">
        <v>359</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2026-10-26T08:43:13Z</dcterms:created>
  <dc:creator>openpyxl</dc:creator>
  <dc:description/>
  <dc:language>en-US</dc:language>
  <cp:lastModifiedBy/>
  <dcterms:modified xsi:type="dcterms:W3CDTF">2026-10-26T09:17:24Z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